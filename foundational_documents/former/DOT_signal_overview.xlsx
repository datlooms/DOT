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 by Market Structure" sheetId="1" state="visible" r:id="rId1"/>
    <sheet xmlns:r="http://schemas.openxmlformats.org/officeDocument/2006/relationships" name="Threshold Tiers" sheetId="2" state="visible" r:id="rId2"/>
    <sheet xmlns:r="http://schemas.openxmlformats.org/officeDocument/2006/relationships" name="Regime Summary" sheetId="3" state="visible" r:id="rId3"/>
    <sheet xmlns:r="http://schemas.openxmlformats.org/officeDocument/2006/relationships" name="How To Read Th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sz val="11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5E0B4"/>
      </patternFill>
    </fill>
    <fill>
      <patternFill patternType="solid">
        <fgColor rgb="00D6E4F0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FFE699"/>
      </patternFill>
    </fill>
    <fill>
      <patternFill patternType="solid">
        <fgColor rgb="00E8DAE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1" pivotButton="0" quotePrefix="0" xfId="0"/>
    <xf numFmtId="0" fontId="3" fillId="0" borderId="1" pivotButton="0" quotePrefix="0" xfId="0"/>
    <xf numFmtId="0" fontId="3" fillId="5" borderId="1" applyAlignment="1" pivotButton="0" quotePrefix="0" xfId="0">
      <alignment horizontal="center"/>
    </xf>
    <xf numFmtId="164" fontId="3" fillId="0" borderId="1" pivotButton="0" quotePrefix="0" xfId="0"/>
    <xf numFmtId="2" fontId="3" fillId="0" borderId="1" pivotButton="0" quotePrefix="0" xfId="0"/>
    <xf numFmtId="3" fontId="3" fillId="0" borderId="1" pivotButton="0" quotePrefix="0" xfId="0"/>
    <xf numFmtId="0" fontId="3" fillId="6" borderId="1" applyAlignment="1" pivotButton="0" quotePrefix="0" xfId="0">
      <alignment horizontal="center"/>
    </xf>
    <xf numFmtId="0" fontId="3" fillId="7" borderId="1" pivotButton="0" quotePrefix="0" xfId="0"/>
    <xf numFmtId="0" fontId="3" fillId="7" borderId="1" applyAlignment="1" pivotButton="0" quotePrefix="0" xfId="0">
      <alignment horizontal="center"/>
    </xf>
    <xf numFmtId="165" fontId="3" fillId="0" borderId="1" pivotButton="0" quotePrefix="0" xfId="0"/>
    <xf numFmtId="0" fontId="2" fillId="4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3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9" customWidth="1" min="3" max="3"/>
    <col width="6" customWidth="1" min="4" max="4"/>
    <col width="9" customWidth="1" min="5" max="5"/>
    <col width="9" customWidth="1" min="6" max="6"/>
    <col width="8" customWidth="1" min="7" max="7"/>
    <col width="10" customWidth="1" min="8" max="8"/>
    <col width="7" customWidth="1" min="9" max="9"/>
    <col width="8" customWidth="1" min="10" max="10"/>
    <col width="9" customWidth="1" min="11" max="11"/>
    <col width="8" customWidth="1" min="12" max="12"/>
    <col width="6" customWidth="1" min="13" max="13"/>
  </cols>
  <sheetData>
    <row r="1">
      <c r="A1" s="1" t="inlineStr">
        <is>
          <t>#</t>
        </is>
      </c>
      <c r="B1" s="1" t="inlineStr">
        <is>
          <t>Signal Name</t>
        </is>
      </c>
      <c r="C1" s="1" t="inlineStr">
        <is>
          <t>Trigger</t>
        </is>
      </c>
      <c r="D1" s="1" t="inlineStr">
        <is>
          <t>Dir</t>
        </is>
      </c>
      <c r="E1" s="1" t="inlineStr">
        <is>
          <t>Trades</t>
        </is>
      </c>
      <c r="F1" s="1" t="inlineStr">
        <is>
          <t>WR%</t>
        </is>
      </c>
      <c r="G1" s="1" t="inlineStr">
        <is>
          <t>PF</t>
        </is>
      </c>
      <c r="H1" s="1" t="inlineStr">
        <is>
          <t>P&amp;L pts</t>
        </is>
      </c>
      <c r="I1" s="1" t="inlineStr">
        <is>
          <t>Folds</t>
        </is>
      </c>
      <c r="J1" s="1" t="inlineStr">
        <is>
          <t>Wk+</t>
        </is>
      </c>
      <c r="K1" s="1" t="inlineStr">
        <is>
          <t>Wkdays+</t>
        </is>
      </c>
      <c r="L1" s="1" t="inlineStr">
        <is>
          <t>Wwk</t>
        </is>
      </c>
      <c r="M1" s="1" t="inlineStr">
        <is>
          <t>Strk</t>
        </is>
      </c>
    </row>
    <row r="2">
      <c r="A2" s="2" t="inlineStr">
        <is>
          <t>TREND_CONTINUATION — Riding a persistent established trend — buy the pullback / sell the rally while D2D holds (10L / 5S) — STANDALONE</t>
        </is>
      </c>
    </row>
    <row r="3">
      <c r="A3" s="3" t="n">
        <v>30</v>
      </c>
      <c r="B3" s="4" t="inlineStr">
        <is>
          <t>TC_SlpEMA_L</t>
        </is>
      </c>
      <c r="C3" s="4" t="inlineStr">
        <is>
          <t>F0</t>
        </is>
      </c>
      <c r="D3" s="5" t="inlineStr">
        <is>
          <t>LONG</t>
        </is>
      </c>
      <c r="E3" s="4" t="n">
        <v>35</v>
      </c>
      <c r="F3" s="6" t="n">
        <v>0.971</v>
      </c>
      <c r="G3" s="7" t="n">
        <v>22.68</v>
      </c>
      <c r="H3" s="8" t="n">
        <v>1127.5</v>
      </c>
      <c r="I3" s="4" t="inlineStr">
        <is>
          <t>6/6</t>
        </is>
      </c>
      <c r="J3" s="4" t="inlineStr">
        <is>
          <t>13/13</t>
        </is>
      </c>
      <c r="K3" s="4" t="inlineStr">
        <is>
          <t>5/5</t>
        </is>
      </c>
      <c r="L3" s="4" t="n">
        <v>19</v>
      </c>
      <c r="M3" s="4" t="n">
        <v>1</v>
      </c>
    </row>
    <row r="4">
      <c r="A4" s="3" t="n">
        <v>31</v>
      </c>
      <c r="B4" s="4" t="inlineStr">
        <is>
          <t>TC_SlpEMA_L</t>
        </is>
      </c>
      <c r="C4" s="4" t="inlineStr">
        <is>
          <t>F0</t>
        </is>
      </c>
      <c r="D4" s="5" t="inlineStr">
        <is>
          <t>LONG</t>
        </is>
      </c>
      <c r="E4" s="4" t="n">
        <v>32</v>
      </c>
      <c r="F4" s="6" t="n">
        <v>0.9690000000000001</v>
      </c>
      <c r="G4" s="7" t="n">
        <v>17.52</v>
      </c>
      <c r="H4" s="8" t="n">
        <v>858.9</v>
      </c>
      <c r="I4" s="4" t="inlineStr">
        <is>
          <t>6/6</t>
        </is>
      </c>
      <c r="J4" s="4" t="inlineStr">
        <is>
          <t>13/13</t>
        </is>
      </c>
      <c r="K4" s="4" t="inlineStr">
        <is>
          <t>5/5</t>
        </is>
      </c>
      <c r="L4" s="4" t="n">
        <v>9.9</v>
      </c>
      <c r="M4" s="4" t="n">
        <v>1</v>
      </c>
    </row>
    <row r="5">
      <c r="A5" s="3" t="n">
        <v>32</v>
      </c>
      <c r="B5" s="4" t="inlineStr">
        <is>
          <t>TC_SlpEMA_L</t>
        </is>
      </c>
      <c r="C5" s="4" t="inlineStr">
        <is>
          <t>F0</t>
        </is>
      </c>
      <c r="D5" s="5" t="inlineStr">
        <is>
          <t>LONG</t>
        </is>
      </c>
      <c r="E5" s="4" t="n">
        <v>33</v>
      </c>
      <c r="F5" s="6" t="n">
        <v>0.97</v>
      </c>
      <c r="G5" s="7" t="n">
        <v>14.69</v>
      </c>
      <c r="H5" s="8" t="n">
        <v>1282.7</v>
      </c>
      <c r="I5" s="4" t="inlineStr">
        <is>
          <t>6/6</t>
        </is>
      </c>
      <c r="J5" s="4" t="inlineStr">
        <is>
          <t>15/16</t>
        </is>
      </c>
      <c r="K5" s="4" t="inlineStr">
        <is>
          <t>5/5</t>
        </is>
      </c>
      <c r="L5" s="4" t="n">
        <v>-93.7</v>
      </c>
      <c r="M5" s="4" t="n">
        <v>1</v>
      </c>
    </row>
    <row r="6">
      <c r="A6" s="3" t="n">
        <v>33</v>
      </c>
      <c r="B6" s="4" t="inlineStr">
        <is>
          <t>TC_SlpAcc_L</t>
        </is>
      </c>
      <c r="C6" s="4" t="inlineStr">
        <is>
          <t>F0</t>
        </is>
      </c>
      <c r="D6" s="5" t="inlineStr">
        <is>
          <t>LONG</t>
        </is>
      </c>
      <c r="E6" s="4" t="n">
        <v>35</v>
      </c>
      <c r="F6" s="6" t="n">
        <v>0.971</v>
      </c>
      <c r="G6" s="7" t="n">
        <v>12.46</v>
      </c>
      <c r="H6" s="8" t="n">
        <v>919.4</v>
      </c>
      <c r="I6" s="4" t="inlineStr">
        <is>
          <t>6/6</t>
        </is>
      </c>
      <c r="J6" s="4" t="inlineStr">
        <is>
          <t>13/13</t>
        </is>
      </c>
      <c r="K6" s="4" t="inlineStr">
        <is>
          <t>5/5</t>
        </is>
      </c>
      <c r="L6" s="4" t="n">
        <v>21.7</v>
      </c>
      <c r="M6" s="4" t="n">
        <v>1</v>
      </c>
    </row>
    <row r="7">
      <c r="A7" s="3" t="n">
        <v>34</v>
      </c>
      <c r="B7" s="4" t="inlineStr">
        <is>
          <t>TC_SlpEMA_L</t>
        </is>
      </c>
      <c r="C7" s="4" t="inlineStr">
        <is>
          <t>F0</t>
        </is>
      </c>
      <c r="D7" s="5" t="inlineStr">
        <is>
          <t>LONG</t>
        </is>
      </c>
      <c r="E7" s="4" t="n">
        <v>51</v>
      </c>
      <c r="F7" s="6" t="n">
        <v>0.9409999999999999</v>
      </c>
      <c r="G7" s="7" t="n">
        <v>9.34</v>
      </c>
      <c r="H7" s="8" t="n">
        <v>1793.6</v>
      </c>
      <c r="I7" s="4" t="inlineStr">
        <is>
          <t>6/6</t>
        </is>
      </c>
      <c r="J7" s="4" t="inlineStr">
        <is>
          <t>15/16</t>
        </is>
      </c>
      <c r="K7" s="4" t="inlineStr">
        <is>
          <t>5/5</t>
        </is>
      </c>
      <c r="L7" s="4" t="n">
        <v>-48.9</v>
      </c>
      <c r="M7" s="4" t="n">
        <v>1</v>
      </c>
    </row>
    <row r="8">
      <c r="A8" s="3" t="n">
        <v>35</v>
      </c>
      <c r="B8" s="4" t="inlineStr">
        <is>
          <t>TC_SlpAcc_L</t>
        </is>
      </c>
      <c r="C8" s="4" t="inlineStr">
        <is>
          <t>F0</t>
        </is>
      </c>
      <c r="D8" s="5" t="inlineStr">
        <is>
          <t>LONG</t>
        </is>
      </c>
      <c r="E8" s="4" t="n">
        <v>48</v>
      </c>
      <c r="F8" s="6" t="n">
        <v>0.917</v>
      </c>
      <c r="G8" s="7" t="n">
        <v>8.279999999999999</v>
      </c>
      <c r="H8" s="8" t="n">
        <v>1576.3</v>
      </c>
      <c r="I8" s="4" t="inlineStr">
        <is>
          <t>6/6</t>
        </is>
      </c>
      <c r="J8" s="4" t="inlineStr">
        <is>
          <t>11/11</t>
        </is>
      </c>
      <c r="K8" s="4" t="inlineStr">
        <is>
          <t>4/5</t>
        </is>
      </c>
      <c r="L8" s="4" t="n">
        <v>15.8</v>
      </c>
      <c r="M8" s="4" t="n">
        <v>1</v>
      </c>
    </row>
    <row r="9">
      <c r="A9" s="3" t="n">
        <v>36</v>
      </c>
      <c r="B9" s="4" t="inlineStr">
        <is>
          <t>TC_ATSlp_L</t>
        </is>
      </c>
      <c r="C9" s="4" t="inlineStr">
        <is>
          <t>F0</t>
        </is>
      </c>
      <c r="D9" s="5" t="inlineStr">
        <is>
          <t>LONG</t>
        </is>
      </c>
      <c r="E9" s="4" t="n">
        <v>30</v>
      </c>
      <c r="F9" s="6" t="n">
        <v>0.9329999999999999</v>
      </c>
      <c r="G9" s="7" t="n">
        <v>7.61</v>
      </c>
      <c r="H9" s="8" t="n">
        <v>1114.8</v>
      </c>
      <c r="I9" s="4" t="inlineStr">
        <is>
          <t>6/6</t>
        </is>
      </c>
      <c r="J9" s="4" t="inlineStr">
        <is>
          <t>13/14</t>
        </is>
      </c>
      <c r="K9" s="4" t="inlineStr">
        <is>
          <t>5/5</t>
        </is>
      </c>
      <c r="L9" s="4" t="n">
        <v>-119</v>
      </c>
      <c r="M9" s="4" t="n">
        <v>1</v>
      </c>
    </row>
    <row r="10">
      <c r="A10" s="3" t="n">
        <v>37</v>
      </c>
      <c r="B10" s="4" t="inlineStr">
        <is>
          <t>TC_ATSlp_L</t>
        </is>
      </c>
      <c r="C10" s="4" t="inlineStr">
        <is>
          <t>F0</t>
        </is>
      </c>
      <c r="D10" s="5" t="inlineStr">
        <is>
          <t>LONG</t>
        </is>
      </c>
      <c r="E10" s="4" t="n">
        <v>31</v>
      </c>
      <c r="F10" s="6" t="n">
        <v>0.903</v>
      </c>
      <c r="G10" s="7" t="n">
        <v>6.67</v>
      </c>
      <c r="H10" s="8" t="n">
        <v>1032.3</v>
      </c>
      <c r="I10" s="4" t="inlineStr">
        <is>
          <t>6/6</t>
        </is>
      </c>
      <c r="J10" s="4" t="inlineStr">
        <is>
          <t>13/13</t>
        </is>
      </c>
      <c r="K10" s="4" t="inlineStr">
        <is>
          <t>5/5</t>
        </is>
      </c>
      <c r="L10" s="4" t="n">
        <v>22.3</v>
      </c>
      <c r="M10" s="4" t="n">
        <v>1</v>
      </c>
    </row>
    <row r="11">
      <c r="A11" s="3" t="n">
        <v>38</v>
      </c>
      <c r="B11" s="4" t="inlineStr">
        <is>
          <t>TC_ATSlp_L</t>
        </is>
      </c>
      <c r="C11" s="4" t="inlineStr">
        <is>
          <t>F0</t>
        </is>
      </c>
      <c r="D11" s="5" t="inlineStr">
        <is>
          <t>LONG</t>
        </is>
      </c>
      <c r="E11" s="4" t="n">
        <v>33</v>
      </c>
      <c r="F11" s="6" t="n">
        <v>0.909</v>
      </c>
      <c r="G11" s="7" t="n">
        <v>4.87</v>
      </c>
      <c r="H11" s="8" t="n">
        <v>866.9</v>
      </c>
      <c r="I11" s="4" t="inlineStr">
        <is>
          <t>6/6</t>
        </is>
      </c>
      <c r="J11" s="4" t="inlineStr">
        <is>
          <t>12/13</t>
        </is>
      </c>
      <c r="K11" s="4" t="inlineStr">
        <is>
          <t>5/5</t>
        </is>
      </c>
      <c r="L11" s="4" t="n">
        <v>-96.7</v>
      </c>
      <c r="M11" s="4" t="n">
        <v>2</v>
      </c>
    </row>
    <row r="12">
      <c r="A12" s="3" t="n">
        <v>39</v>
      </c>
      <c r="B12" s="4" t="inlineStr">
        <is>
          <t>TC_ATSlp_L</t>
        </is>
      </c>
      <c r="C12" s="4" t="inlineStr">
        <is>
          <t>F0</t>
        </is>
      </c>
      <c r="D12" s="5" t="inlineStr">
        <is>
          <t>LONG</t>
        </is>
      </c>
      <c r="E12" s="4" t="n">
        <v>41</v>
      </c>
      <c r="F12" s="6" t="n">
        <v>0.927</v>
      </c>
      <c r="G12" s="7" t="n">
        <v>3.96</v>
      </c>
      <c r="H12" s="8" t="n">
        <v>970.1</v>
      </c>
      <c r="I12" s="4" t="inlineStr">
        <is>
          <t>6/6</t>
        </is>
      </c>
      <c r="J12" s="4" t="inlineStr">
        <is>
          <t>11/12</t>
        </is>
      </c>
      <c r="K12" s="4" t="inlineStr">
        <is>
          <t>5/5</t>
        </is>
      </c>
      <c r="L12" s="4" t="n">
        <v>-31.8</v>
      </c>
      <c r="M12" s="4" t="n">
        <v>1</v>
      </c>
    </row>
    <row r="13">
      <c r="A13" s="3" t="n">
        <v>40</v>
      </c>
      <c r="B13" s="4" t="inlineStr">
        <is>
          <t>TC_SlpAcc_S</t>
        </is>
      </c>
      <c r="C13" s="4" t="inlineStr">
        <is>
          <t>F0</t>
        </is>
      </c>
      <c r="D13" s="9" t="inlineStr">
        <is>
          <t>SHORT</t>
        </is>
      </c>
      <c r="E13" s="4" t="n">
        <v>30</v>
      </c>
      <c r="F13" s="6" t="n">
        <v>1</v>
      </c>
      <c r="G13" s="7" t="n">
        <v>999</v>
      </c>
      <c r="H13" s="8" t="n">
        <v>663.8</v>
      </c>
      <c r="I13" s="4" t="inlineStr">
        <is>
          <t>6/6</t>
        </is>
      </c>
      <c r="J13" s="4" t="inlineStr">
        <is>
          <t>12/12</t>
        </is>
      </c>
      <c r="K13" s="4" t="inlineStr">
        <is>
          <t>5/5</t>
        </is>
      </c>
      <c r="L13" s="4" t="n">
        <v>11.7</v>
      </c>
      <c r="M13" s="4" t="n">
        <v>0</v>
      </c>
    </row>
    <row r="14">
      <c r="A14" s="3" t="n">
        <v>41</v>
      </c>
      <c r="B14" s="4" t="inlineStr">
        <is>
          <t>TC_SlpAcc_S</t>
        </is>
      </c>
      <c r="C14" s="4" t="inlineStr">
        <is>
          <t>F0</t>
        </is>
      </c>
      <c r="D14" s="9" t="inlineStr">
        <is>
          <t>SHORT</t>
        </is>
      </c>
      <c r="E14" s="4" t="n">
        <v>35</v>
      </c>
      <c r="F14" s="6" t="n">
        <v>0.9429999999999999</v>
      </c>
      <c r="G14" s="7" t="n">
        <v>8.300000000000001</v>
      </c>
      <c r="H14" s="8" t="n">
        <v>802.8</v>
      </c>
      <c r="I14" s="4" t="inlineStr">
        <is>
          <t>6/6</t>
        </is>
      </c>
      <c r="J14" s="4" t="inlineStr">
        <is>
          <t>12/12</t>
        </is>
      </c>
      <c r="K14" s="4" t="inlineStr">
        <is>
          <t>5/5</t>
        </is>
      </c>
      <c r="L14" s="4" t="n">
        <v>12.6</v>
      </c>
      <c r="M14" s="4" t="n">
        <v>1</v>
      </c>
    </row>
    <row r="15">
      <c r="A15" s="3" t="n">
        <v>42</v>
      </c>
      <c r="B15" s="4" t="inlineStr">
        <is>
          <t>TC_ATSlp_S</t>
        </is>
      </c>
      <c r="C15" s="4" t="inlineStr">
        <is>
          <t>F0</t>
        </is>
      </c>
      <c r="D15" s="9" t="inlineStr">
        <is>
          <t>SHORT</t>
        </is>
      </c>
      <c r="E15" s="4" t="n">
        <v>34</v>
      </c>
      <c r="F15" s="6" t="n">
        <v>0.9409999999999999</v>
      </c>
      <c r="G15" s="7" t="n">
        <v>6.08</v>
      </c>
      <c r="H15" s="8" t="n">
        <v>718.5</v>
      </c>
      <c r="I15" s="4" t="inlineStr">
        <is>
          <t>6/6</t>
        </is>
      </c>
      <c r="J15" s="4" t="inlineStr">
        <is>
          <t>12/14</t>
        </is>
      </c>
      <c r="K15" s="4" t="inlineStr">
        <is>
          <t>5/5</t>
        </is>
      </c>
      <c r="L15" s="4" t="n">
        <v>-53.6</v>
      </c>
      <c r="M15" s="4" t="n">
        <v>1</v>
      </c>
    </row>
    <row r="16">
      <c r="A16" s="3" t="n">
        <v>43</v>
      </c>
      <c r="B16" s="4" t="inlineStr">
        <is>
          <t>TC_SlpEMA_S</t>
        </is>
      </c>
      <c r="C16" s="4" t="inlineStr">
        <is>
          <t>F0</t>
        </is>
      </c>
      <c r="D16" s="9" t="inlineStr">
        <is>
          <t>SHORT</t>
        </is>
      </c>
      <c r="E16" s="4" t="n">
        <v>33</v>
      </c>
      <c r="F16" s="6" t="n">
        <v>0.909</v>
      </c>
      <c r="G16" s="7" t="n">
        <v>3.79</v>
      </c>
      <c r="H16" s="8" t="n">
        <v>523.6</v>
      </c>
      <c r="I16" s="4" t="inlineStr">
        <is>
          <t>6/6</t>
        </is>
      </c>
      <c r="J16" s="4" t="inlineStr">
        <is>
          <t>13/13</t>
        </is>
      </c>
      <c r="K16" s="4" t="inlineStr">
        <is>
          <t>5/5</t>
        </is>
      </c>
      <c r="L16" s="4" t="n">
        <v>6.8</v>
      </c>
      <c r="M16" s="4" t="n">
        <v>1</v>
      </c>
    </row>
    <row r="17">
      <c r="A17" s="3" t="n">
        <v>44</v>
      </c>
      <c r="B17" s="4" t="inlineStr">
        <is>
          <t>TC_ATSlp_S</t>
        </is>
      </c>
      <c r="C17" s="4" t="inlineStr">
        <is>
          <t>F0</t>
        </is>
      </c>
      <c r="D17" s="9" t="inlineStr">
        <is>
          <t>SHORT</t>
        </is>
      </c>
      <c r="E17" s="4" t="n">
        <v>32</v>
      </c>
      <c r="F17" s="6" t="n">
        <v>0.9059999999999999</v>
      </c>
      <c r="G17" s="7" t="n">
        <v>3.47</v>
      </c>
      <c r="H17" s="8" t="n">
        <v>504.8</v>
      </c>
      <c r="I17" s="4" t="inlineStr">
        <is>
          <t>6/6</t>
        </is>
      </c>
      <c r="J17" s="4" t="inlineStr">
        <is>
          <t>11/12</t>
        </is>
      </c>
      <c r="K17" s="4" t="inlineStr">
        <is>
          <t>4/5</t>
        </is>
      </c>
      <c r="L17" s="4" t="n">
        <v>-32.8</v>
      </c>
      <c r="M17" s="4" t="n">
        <v>1</v>
      </c>
    </row>
    <row r="18">
      <c r="A18" s="2" t="inlineStr">
        <is>
          <t>MOMENTUM_IGNITION — OBV / KAMA / flow confirming a fresh momentum ignition in the trend direction (10L / 4S) — STANDALONE</t>
        </is>
      </c>
    </row>
    <row r="19">
      <c r="A19" s="3" t="n">
        <v>2</v>
      </c>
      <c r="B19" s="4" t="inlineStr">
        <is>
          <t>MI_KDist_L</t>
        </is>
      </c>
      <c r="C19" s="4" t="inlineStr">
        <is>
          <t>F0</t>
        </is>
      </c>
      <c r="D19" s="5" t="inlineStr">
        <is>
          <t>LONG</t>
        </is>
      </c>
      <c r="E19" s="4" t="n">
        <v>31</v>
      </c>
      <c r="F19" s="6" t="n">
        <v>1</v>
      </c>
      <c r="G19" s="7" t="n">
        <v>999</v>
      </c>
      <c r="H19" s="8" t="n">
        <v>1441</v>
      </c>
      <c r="I19" s="4" t="inlineStr">
        <is>
          <t>6/6</t>
        </is>
      </c>
      <c r="J19" s="4" t="inlineStr">
        <is>
          <t>10/10</t>
        </is>
      </c>
      <c r="K19" s="4" t="inlineStr">
        <is>
          <t>5/5</t>
        </is>
      </c>
      <c r="L19" s="4" t="n">
        <v>15.5</v>
      </c>
      <c r="M19" s="4" t="n">
        <v>0</v>
      </c>
    </row>
    <row r="20">
      <c r="A20" s="3" t="n">
        <v>3</v>
      </c>
      <c r="B20" s="4" t="inlineStr">
        <is>
          <t>MI_MomoTra_L</t>
        </is>
      </c>
      <c r="C20" s="4" t="inlineStr">
        <is>
          <t>F0</t>
        </is>
      </c>
      <c r="D20" s="5" t="inlineStr">
        <is>
          <t>LONG</t>
        </is>
      </c>
      <c r="E20" s="4" t="n">
        <v>38</v>
      </c>
      <c r="F20" s="6" t="n">
        <v>0.9740000000000001</v>
      </c>
      <c r="G20" s="7" t="n">
        <v>30.94</v>
      </c>
      <c r="H20" s="8" t="n">
        <v>1778.4</v>
      </c>
      <c r="I20" s="4" t="inlineStr">
        <is>
          <t>6/6</t>
        </is>
      </c>
      <c r="J20" s="4" t="inlineStr">
        <is>
          <t>14/14</t>
        </is>
      </c>
      <c r="K20" s="4" t="inlineStr">
        <is>
          <t>5/5</t>
        </is>
      </c>
      <c r="L20" s="4" t="n">
        <v>13.9</v>
      </c>
      <c r="M20" s="4" t="n">
        <v>1</v>
      </c>
    </row>
    <row r="21">
      <c r="A21" s="3" t="n">
        <v>4</v>
      </c>
      <c r="B21" s="4" t="inlineStr">
        <is>
          <t>MI_KDist_L</t>
        </is>
      </c>
      <c r="C21" s="4" t="inlineStr">
        <is>
          <t>F0</t>
        </is>
      </c>
      <c r="D21" s="5" t="inlineStr">
        <is>
          <t>LONG</t>
        </is>
      </c>
      <c r="E21" s="4" t="n">
        <v>31</v>
      </c>
      <c r="F21" s="6" t="n">
        <v>0.968</v>
      </c>
      <c r="G21" s="7" t="n">
        <v>13.67</v>
      </c>
      <c r="H21" s="8" t="n">
        <v>1171.9</v>
      </c>
      <c r="I21" s="4" t="inlineStr">
        <is>
          <t>6/6</t>
        </is>
      </c>
      <c r="J21" s="4" t="inlineStr">
        <is>
          <t>12/13</t>
        </is>
      </c>
      <c r="K21" s="4" t="inlineStr">
        <is>
          <t>5/5</t>
        </is>
      </c>
      <c r="L21" s="4" t="n">
        <v>-92.5</v>
      </c>
      <c r="M21" s="4" t="n">
        <v>1</v>
      </c>
    </row>
    <row r="22">
      <c r="A22" s="3" t="n">
        <v>5</v>
      </c>
      <c r="B22" s="4" t="inlineStr">
        <is>
          <t>MI_VPIN_L</t>
        </is>
      </c>
      <c r="C22" s="4" t="inlineStr">
        <is>
          <t>F0</t>
        </is>
      </c>
      <c r="D22" s="5" t="inlineStr">
        <is>
          <t>LONG</t>
        </is>
      </c>
      <c r="E22" s="4" t="n">
        <v>32</v>
      </c>
      <c r="F22" s="6" t="n">
        <v>0.9690000000000001</v>
      </c>
      <c r="G22" s="7" t="n">
        <v>9.390000000000001</v>
      </c>
      <c r="H22" s="8" t="n">
        <v>753.7</v>
      </c>
      <c r="I22" s="4" t="inlineStr">
        <is>
          <t>6/6</t>
        </is>
      </c>
      <c r="J22" s="4" t="inlineStr">
        <is>
          <t>14/15</t>
        </is>
      </c>
      <c r="K22" s="4" t="inlineStr">
        <is>
          <t>5/5</t>
        </is>
      </c>
      <c r="L22" s="4" t="n">
        <v>-14.4</v>
      </c>
      <c r="M22" s="4" t="n">
        <v>1</v>
      </c>
    </row>
    <row r="23">
      <c r="A23" s="3" t="n">
        <v>6</v>
      </c>
      <c r="B23" s="4" t="inlineStr">
        <is>
          <t>MI_OBVM_L</t>
        </is>
      </c>
      <c r="C23" s="4" t="inlineStr">
        <is>
          <t>F0</t>
        </is>
      </c>
      <c r="D23" s="5" t="inlineStr">
        <is>
          <t>LONG</t>
        </is>
      </c>
      <c r="E23" s="4" t="n">
        <v>37</v>
      </c>
      <c r="F23" s="6" t="n">
        <v>0.946</v>
      </c>
      <c r="G23" s="7" t="n">
        <v>8.99</v>
      </c>
      <c r="H23" s="8" t="n">
        <v>1664.6</v>
      </c>
      <c r="I23" s="4" t="inlineStr">
        <is>
          <t>6/6</t>
        </is>
      </c>
      <c r="J23" s="4" t="inlineStr">
        <is>
          <t>14/15</t>
        </is>
      </c>
      <c r="K23" s="4" t="inlineStr">
        <is>
          <t>5/5</t>
        </is>
      </c>
      <c r="L23" s="4" t="n">
        <v>-25.9</v>
      </c>
      <c r="M23" s="4" t="n">
        <v>1</v>
      </c>
    </row>
    <row r="24">
      <c r="A24" s="3" t="n">
        <v>7</v>
      </c>
      <c r="B24" s="4" t="inlineStr">
        <is>
          <t>MI_OFDelta_L</t>
        </is>
      </c>
      <c r="C24" s="4" t="inlineStr">
        <is>
          <t>F0</t>
        </is>
      </c>
      <c r="D24" s="5" t="inlineStr">
        <is>
          <t>LONG</t>
        </is>
      </c>
      <c r="E24" s="4" t="n">
        <v>35</v>
      </c>
      <c r="F24" s="6" t="n">
        <v>0.9429999999999999</v>
      </c>
      <c r="G24" s="7" t="n">
        <v>6.95</v>
      </c>
      <c r="H24" s="8" t="n">
        <v>1124</v>
      </c>
      <c r="I24" s="4" t="inlineStr">
        <is>
          <t>6/6</t>
        </is>
      </c>
      <c r="J24" s="4" t="inlineStr">
        <is>
          <t>13/15</t>
        </is>
      </c>
      <c r="K24" s="4" t="inlineStr">
        <is>
          <t>4/5</t>
        </is>
      </c>
      <c r="L24" s="4" t="n">
        <v>-84</v>
      </c>
      <c r="M24" s="4" t="n">
        <v>1</v>
      </c>
    </row>
    <row r="25">
      <c r="A25" s="3" t="n">
        <v>8</v>
      </c>
      <c r="B25" s="4" t="inlineStr">
        <is>
          <t>MI_OBVM_L</t>
        </is>
      </c>
      <c r="C25" s="4" t="inlineStr">
        <is>
          <t>F0</t>
        </is>
      </c>
      <c r="D25" s="5" t="inlineStr">
        <is>
          <t>LONG</t>
        </is>
      </c>
      <c r="E25" s="4" t="n">
        <v>41</v>
      </c>
      <c r="F25" s="6" t="n">
        <v>0.951</v>
      </c>
      <c r="G25" s="7" t="n">
        <v>5.9</v>
      </c>
      <c r="H25" s="8" t="n">
        <v>1247.4</v>
      </c>
      <c r="I25" s="4" t="inlineStr">
        <is>
          <t>6/6</t>
        </is>
      </c>
      <c r="J25" s="4" t="inlineStr">
        <is>
          <t>18/18</t>
        </is>
      </c>
      <c r="K25" s="4" t="inlineStr">
        <is>
          <t>4/5</t>
        </is>
      </c>
      <c r="L25" s="4" t="n">
        <v>17.1</v>
      </c>
      <c r="M25" s="4" t="n">
        <v>1</v>
      </c>
    </row>
    <row r="26">
      <c r="A26" s="3" t="n">
        <v>9</v>
      </c>
      <c r="B26" s="4" t="inlineStr">
        <is>
          <t>MI_OBVM_L</t>
        </is>
      </c>
      <c r="C26" s="4" t="inlineStr">
        <is>
          <t>F0</t>
        </is>
      </c>
      <c r="D26" s="5" t="inlineStr">
        <is>
          <t>LONG</t>
        </is>
      </c>
      <c r="E26" s="4" t="n">
        <v>41</v>
      </c>
      <c r="F26" s="6" t="n">
        <v>0.902</v>
      </c>
      <c r="G26" s="7" t="n">
        <v>4.91</v>
      </c>
      <c r="H26" s="8" t="n">
        <v>1433.8</v>
      </c>
      <c r="I26" s="4" t="inlineStr">
        <is>
          <t>6/6</t>
        </is>
      </c>
      <c r="J26" s="4" t="inlineStr">
        <is>
          <t>12/14</t>
        </is>
      </c>
      <c r="K26" s="4" t="inlineStr">
        <is>
          <t>4/5</t>
        </is>
      </c>
      <c r="L26" s="4" t="n">
        <v>-80.40000000000001</v>
      </c>
      <c r="M26" s="4" t="n">
        <v>1</v>
      </c>
    </row>
    <row r="27">
      <c r="A27" s="3" t="n">
        <v>10</v>
      </c>
      <c r="B27" s="4" t="inlineStr">
        <is>
          <t>MI_IBSP_L</t>
        </is>
      </c>
      <c r="C27" s="4" t="inlineStr">
        <is>
          <t>F0</t>
        </is>
      </c>
      <c r="D27" s="5" t="inlineStr">
        <is>
          <t>LONG</t>
        </is>
      </c>
      <c r="E27" s="4" t="n">
        <v>35</v>
      </c>
      <c r="F27" s="6" t="n">
        <v>0.8859999999999999</v>
      </c>
      <c r="G27" s="7" t="n">
        <v>4.74</v>
      </c>
      <c r="H27" s="8" t="n">
        <v>947.2</v>
      </c>
      <c r="I27" s="4" t="inlineStr">
        <is>
          <t>6/6</t>
        </is>
      </c>
      <c r="J27" s="4" t="inlineStr">
        <is>
          <t>11/11</t>
        </is>
      </c>
      <c r="K27" s="4" t="inlineStr">
        <is>
          <t>4/5</t>
        </is>
      </c>
      <c r="L27" s="4" t="n">
        <v>27.9</v>
      </c>
      <c r="M27" s="4" t="n">
        <v>1</v>
      </c>
    </row>
    <row r="28">
      <c r="A28" s="3" t="n">
        <v>11</v>
      </c>
      <c r="B28" s="4" t="inlineStr">
        <is>
          <t>MI_OBVM_L</t>
        </is>
      </c>
      <c r="C28" s="4" t="inlineStr">
        <is>
          <t>F0</t>
        </is>
      </c>
      <c r="D28" s="5" t="inlineStr">
        <is>
          <t>LONG</t>
        </is>
      </c>
      <c r="E28" s="4" t="n">
        <v>34</v>
      </c>
      <c r="F28" s="6" t="n">
        <v>0.882</v>
      </c>
      <c r="G28" s="7" t="n">
        <v>4.29</v>
      </c>
      <c r="H28" s="8" t="n">
        <v>873.6</v>
      </c>
      <c r="I28" s="4" t="inlineStr">
        <is>
          <t>6/6</t>
        </is>
      </c>
      <c r="J28" s="4" t="inlineStr">
        <is>
          <t>12/15</t>
        </is>
      </c>
      <c r="K28" s="4" t="inlineStr">
        <is>
          <t>4/5</t>
        </is>
      </c>
      <c r="L28" s="4" t="n">
        <v>-50.4</v>
      </c>
      <c r="M28" s="4" t="n">
        <v>1</v>
      </c>
    </row>
    <row r="29">
      <c r="A29" s="3" t="n">
        <v>12</v>
      </c>
      <c r="B29" s="4" t="inlineStr">
        <is>
          <t>MI_OBVfDir_S</t>
        </is>
      </c>
      <c r="C29" s="4" t="inlineStr">
        <is>
          <t>F0</t>
        </is>
      </c>
      <c r="D29" s="9" t="inlineStr">
        <is>
          <t>SHORT</t>
        </is>
      </c>
      <c r="E29" s="4" t="n">
        <v>30</v>
      </c>
      <c r="F29" s="6" t="n">
        <v>0.9329999999999999</v>
      </c>
      <c r="G29" s="7" t="n">
        <v>7</v>
      </c>
      <c r="H29" s="8" t="n">
        <v>778.5</v>
      </c>
      <c r="I29" s="4" t="inlineStr">
        <is>
          <t>6/6</t>
        </is>
      </c>
      <c r="J29" s="4" t="inlineStr">
        <is>
          <t>10/11</t>
        </is>
      </c>
      <c r="K29" s="4" t="inlineStr">
        <is>
          <t>4/5</t>
        </is>
      </c>
      <c r="L29" s="4" t="n">
        <v>-63.3</v>
      </c>
      <c r="M29" s="4" t="n">
        <v>1</v>
      </c>
    </row>
    <row r="30">
      <c r="A30" s="3" t="n">
        <v>13</v>
      </c>
      <c r="B30" s="4" t="inlineStr">
        <is>
          <t>MI_IBSP_S</t>
        </is>
      </c>
      <c r="C30" s="4" t="inlineStr">
        <is>
          <t>F0</t>
        </is>
      </c>
      <c r="D30" s="9" t="inlineStr">
        <is>
          <t>SHORT</t>
        </is>
      </c>
      <c r="E30" s="4" t="n">
        <v>37</v>
      </c>
      <c r="F30" s="6" t="n">
        <v>0.919</v>
      </c>
      <c r="G30" s="7" t="n">
        <v>6.21</v>
      </c>
      <c r="H30" s="8" t="n">
        <v>838.7</v>
      </c>
      <c r="I30" s="4" t="inlineStr">
        <is>
          <t>6/6</t>
        </is>
      </c>
      <c r="J30" s="4" t="inlineStr">
        <is>
          <t>14/15</t>
        </is>
      </c>
      <c r="K30" s="4" t="inlineStr">
        <is>
          <t>5/5</t>
        </is>
      </c>
      <c r="L30" s="4" t="n">
        <v>-62.2</v>
      </c>
      <c r="M30" s="4" t="n">
        <v>1</v>
      </c>
    </row>
    <row r="31">
      <c r="A31" s="3" t="n">
        <v>14</v>
      </c>
      <c r="B31" s="4" t="inlineStr">
        <is>
          <t>MI_EMAosc_S</t>
        </is>
      </c>
      <c r="C31" s="4" t="inlineStr">
        <is>
          <t>F0</t>
        </is>
      </c>
      <c r="D31" s="9" t="inlineStr">
        <is>
          <t>SHORT</t>
        </is>
      </c>
      <c r="E31" s="4" t="n">
        <v>58</v>
      </c>
      <c r="F31" s="6" t="n">
        <v>0.897</v>
      </c>
      <c r="G31" s="7" t="n">
        <v>5.21</v>
      </c>
      <c r="H31" s="8" t="n">
        <v>1447.4</v>
      </c>
      <c r="I31" s="4" t="inlineStr">
        <is>
          <t>6/6</t>
        </is>
      </c>
      <c r="J31" s="4" t="inlineStr">
        <is>
          <t>18/19</t>
        </is>
      </c>
      <c r="K31" s="4" t="inlineStr">
        <is>
          <t>5/5</t>
        </is>
      </c>
      <c r="L31" s="4" t="n">
        <v>-74.5</v>
      </c>
      <c r="M31" s="4" t="n">
        <v>1</v>
      </c>
    </row>
    <row r="32">
      <c r="A32" s="3" t="n">
        <v>15</v>
      </c>
      <c r="B32" s="4" t="inlineStr">
        <is>
          <t>MI_EffRat_S</t>
        </is>
      </c>
      <c r="C32" s="4" t="inlineStr">
        <is>
          <t>F0</t>
        </is>
      </c>
      <c r="D32" s="9" t="inlineStr">
        <is>
          <t>SHORT</t>
        </is>
      </c>
      <c r="E32" s="4" t="n">
        <v>67</v>
      </c>
      <c r="F32" s="6" t="n">
        <v>0.91</v>
      </c>
      <c r="G32" s="7" t="n">
        <v>4.63</v>
      </c>
      <c r="H32" s="8" t="n">
        <v>1920</v>
      </c>
      <c r="I32" s="4" t="inlineStr">
        <is>
          <t>6/6</t>
        </is>
      </c>
      <c r="J32" s="4" t="inlineStr">
        <is>
          <t>19/20</t>
        </is>
      </c>
      <c r="K32" s="4" t="inlineStr">
        <is>
          <t>5/5</t>
        </is>
      </c>
      <c r="L32" s="4" t="n">
        <v>-266.4</v>
      </c>
      <c r="M32" s="4" t="n">
        <v>1</v>
      </c>
    </row>
    <row r="33">
      <c r="A33" s="2" t="inlineStr">
        <is>
          <t>STRUCTURAL_ENTRY — Entry off D2D structural state / value-area / level positioning (AT_Score, sensitivity, PoC, session levels) (5L / 1S) — STANDALONE</t>
        </is>
      </c>
    </row>
    <row r="34">
      <c r="A34" s="3" t="n">
        <v>24</v>
      </c>
      <c r="B34" s="4" t="inlineStr">
        <is>
          <t>SE_VWAPDis_L</t>
        </is>
      </c>
      <c r="C34" s="4" t="inlineStr">
        <is>
          <t>F0</t>
        </is>
      </c>
      <c r="D34" s="5" t="inlineStr">
        <is>
          <t>LONG</t>
        </is>
      </c>
      <c r="E34" s="4" t="n">
        <v>34</v>
      </c>
      <c r="F34" s="6" t="n">
        <v>0.971</v>
      </c>
      <c r="G34" s="7" t="n">
        <v>25.56</v>
      </c>
      <c r="H34" s="8" t="n">
        <v>1665.3</v>
      </c>
      <c r="I34" s="4" t="inlineStr">
        <is>
          <t>6/6</t>
        </is>
      </c>
      <c r="J34" s="4" t="inlineStr">
        <is>
          <t>17/18</t>
        </is>
      </c>
      <c r="K34" s="4" t="inlineStr">
        <is>
          <t>5/5</t>
        </is>
      </c>
      <c r="L34" s="4" t="n">
        <v>-38.4</v>
      </c>
      <c r="M34" s="4" t="n">
        <v>1</v>
      </c>
    </row>
    <row r="35">
      <c r="A35" s="3" t="n">
        <v>25</v>
      </c>
      <c r="B35" s="4" t="inlineStr">
        <is>
          <t>SE_BarsFlip_L</t>
        </is>
      </c>
      <c r="C35" s="4" t="inlineStr">
        <is>
          <t>F0</t>
        </is>
      </c>
      <c r="D35" s="5" t="inlineStr">
        <is>
          <t>LONG</t>
        </is>
      </c>
      <c r="E35" s="4" t="n">
        <v>33</v>
      </c>
      <c r="F35" s="6" t="n">
        <v>0.9390000000000001</v>
      </c>
      <c r="G35" s="7" t="n">
        <v>13.01</v>
      </c>
      <c r="H35" s="8" t="n">
        <v>1124.1</v>
      </c>
      <c r="I35" s="4" t="inlineStr">
        <is>
          <t>6/6</t>
        </is>
      </c>
      <c r="J35" s="4" t="inlineStr">
        <is>
          <t>8/9</t>
        </is>
      </c>
      <c r="K35" s="4" t="inlineStr">
        <is>
          <t>5/5</t>
        </is>
      </c>
      <c r="L35" s="4" t="n">
        <v>-27.3</v>
      </c>
      <c r="M35" s="4" t="n">
        <v>1</v>
      </c>
    </row>
    <row r="36">
      <c r="A36" s="3" t="n">
        <v>26</v>
      </c>
      <c r="B36" s="4" t="inlineStr">
        <is>
          <t>SE_BarsFlip_L</t>
        </is>
      </c>
      <c r="C36" s="4" t="inlineStr">
        <is>
          <t>F0</t>
        </is>
      </c>
      <c r="D36" s="5" t="inlineStr">
        <is>
          <t>LONG</t>
        </is>
      </c>
      <c r="E36" s="4" t="n">
        <v>36</v>
      </c>
      <c r="F36" s="6" t="n">
        <v>0.9440000000000001</v>
      </c>
      <c r="G36" s="7" t="n">
        <v>10.37</v>
      </c>
      <c r="H36" s="8" t="n">
        <v>1101.6</v>
      </c>
      <c r="I36" s="4" t="inlineStr">
        <is>
          <t>6/6</t>
        </is>
      </c>
      <c r="J36" s="4" t="inlineStr">
        <is>
          <t>14/14</t>
        </is>
      </c>
      <c r="K36" s="4" t="inlineStr">
        <is>
          <t>5/5</t>
        </is>
      </c>
      <c r="L36" s="4" t="n">
        <v>11.5</v>
      </c>
      <c r="M36" s="4" t="n">
        <v>1</v>
      </c>
    </row>
    <row r="37">
      <c r="A37" s="3" t="n">
        <v>27</v>
      </c>
      <c r="B37" s="4" t="inlineStr">
        <is>
          <t>SE_BarsFlip_L</t>
        </is>
      </c>
      <c r="C37" s="4" t="inlineStr">
        <is>
          <t>F0</t>
        </is>
      </c>
      <c r="D37" s="5" t="inlineStr">
        <is>
          <t>LONG</t>
        </is>
      </c>
      <c r="E37" s="4" t="n">
        <v>42</v>
      </c>
      <c r="F37" s="6" t="n">
        <v>0.929</v>
      </c>
      <c r="G37" s="7" t="n">
        <v>7.83</v>
      </c>
      <c r="H37" s="8" t="n">
        <v>1393.3</v>
      </c>
      <c r="I37" s="4" t="inlineStr">
        <is>
          <t>6/6</t>
        </is>
      </c>
      <c r="J37" s="4" t="inlineStr">
        <is>
          <t>11/13</t>
        </is>
      </c>
      <c r="K37" s="4" t="inlineStr">
        <is>
          <t>5/5</t>
        </is>
      </c>
      <c r="L37" s="4" t="n">
        <v>-86.2</v>
      </c>
      <c r="M37" s="4" t="n">
        <v>1</v>
      </c>
    </row>
    <row r="38">
      <c r="A38" s="3" t="n">
        <v>28</v>
      </c>
      <c r="B38" s="4" t="inlineStr">
        <is>
          <t>SE_Round50_L</t>
        </is>
      </c>
      <c r="C38" s="4" t="inlineStr">
        <is>
          <t>F0</t>
        </is>
      </c>
      <c r="D38" s="5" t="inlineStr">
        <is>
          <t>LONG</t>
        </is>
      </c>
      <c r="E38" s="4" t="n">
        <v>50</v>
      </c>
      <c r="F38" s="6" t="n">
        <v>0.9</v>
      </c>
      <c r="G38" s="7" t="n">
        <v>3.9</v>
      </c>
      <c r="H38" s="8" t="n">
        <v>949.5</v>
      </c>
      <c r="I38" s="4" t="inlineStr">
        <is>
          <t>6/6</t>
        </is>
      </c>
      <c r="J38" s="4" t="inlineStr">
        <is>
          <t>11/12</t>
        </is>
      </c>
      <c r="K38" s="4" t="inlineStr">
        <is>
          <t>4/5</t>
        </is>
      </c>
      <c r="L38" s="4" t="n">
        <v>-124.4</v>
      </c>
      <c r="M38" s="4" t="n">
        <v>2</v>
      </c>
    </row>
    <row r="39">
      <c r="A39" s="3" t="n">
        <v>29</v>
      </c>
      <c r="B39" s="4" t="inlineStr">
        <is>
          <t>SE_D2DSens_S</t>
        </is>
      </c>
      <c r="C39" s="4" t="inlineStr">
        <is>
          <t>F0</t>
        </is>
      </c>
      <c r="D39" s="9" t="inlineStr">
        <is>
          <t>SHORT</t>
        </is>
      </c>
      <c r="E39" s="4" t="n">
        <v>31</v>
      </c>
      <c r="F39" s="6" t="n">
        <v>0.968</v>
      </c>
      <c r="G39" s="7" t="n">
        <v>7.71</v>
      </c>
      <c r="H39" s="8" t="n">
        <v>1027.3</v>
      </c>
      <c r="I39" s="4" t="inlineStr">
        <is>
          <t>6/6</t>
        </is>
      </c>
      <c r="J39" s="4" t="inlineStr">
        <is>
          <t>17/18</t>
        </is>
      </c>
      <c r="K39" s="4" t="inlineStr">
        <is>
          <t>5/5</t>
        </is>
      </c>
      <c r="L39" s="4" t="n">
        <v>-3.1</v>
      </c>
      <c r="M39" s="4" t="n">
        <v>1</v>
      </c>
    </row>
    <row r="40">
      <c r="A40" s="2" t="inlineStr">
        <is>
          <t>BREAKOUT_EXPANSION — Range expanding, volatility released — ride the expansion as compression resolves (7L / 1S) — STANDALONE</t>
        </is>
      </c>
    </row>
    <row r="41">
      <c r="A41" s="3" t="n">
        <v>16</v>
      </c>
      <c r="B41" s="4" t="inlineStr">
        <is>
          <t>BX_BarRng_L</t>
        </is>
      </c>
      <c r="C41" s="4" t="inlineStr">
        <is>
          <t>F0</t>
        </is>
      </c>
      <c r="D41" s="5" t="inlineStr">
        <is>
          <t>LONG</t>
        </is>
      </c>
      <c r="E41" s="4" t="n">
        <v>75</v>
      </c>
      <c r="F41" s="6" t="n">
        <v>0.9470000000000001</v>
      </c>
      <c r="G41" s="7" t="n">
        <v>10.09</v>
      </c>
      <c r="H41" s="8" t="n">
        <v>2217.6</v>
      </c>
      <c r="I41" s="4" t="inlineStr">
        <is>
          <t>6/6</t>
        </is>
      </c>
      <c r="J41" s="4" t="inlineStr">
        <is>
          <t>18/21</t>
        </is>
      </c>
      <c r="K41" s="4" t="inlineStr">
        <is>
          <t>5/5</t>
        </is>
      </c>
      <c r="L41" s="4" t="n">
        <v>-51.1</v>
      </c>
      <c r="M41" s="4" t="n">
        <v>2</v>
      </c>
    </row>
    <row r="42">
      <c r="A42" s="3" t="n">
        <v>17</v>
      </c>
      <c r="B42" s="4" t="inlineStr">
        <is>
          <t>BX_D2DATR_L</t>
        </is>
      </c>
      <c r="C42" s="4" t="inlineStr">
        <is>
          <t>F0</t>
        </is>
      </c>
      <c r="D42" s="5" t="inlineStr">
        <is>
          <t>LONG</t>
        </is>
      </c>
      <c r="E42" s="4" t="n">
        <v>32</v>
      </c>
      <c r="F42" s="6" t="n">
        <v>0.9379999999999999</v>
      </c>
      <c r="G42" s="7" t="n">
        <v>8.380000000000001</v>
      </c>
      <c r="H42" s="8" t="n">
        <v>902.8</v>
      </c>
      <c r="I42" s="4" t="inlineStr">
        <is>
          <t>6/6</t>
        </is>
      </c>
      <c r="J42" s="4" t="inlineStr">
        <is>
          <t>10/10</t>
        </is>
      </c>
      <c r="K42" s="4" t="inlineStr">
        <is>
          <t>5/5</t>
        </is>
      </c>
      <c r="L42" s="4" t="n">
        <v>22.3</v>
      </c>
      <c r="M42" s="4" t="n">
        <v>1</v>
      </c>
    </row>
    <row r="43">
      <c r="A43" s="3" t="n">
        <v>18</v>
      </c>
      <c r="B43" s="4" t="inlineStr">
        <is>
          <t>BX_ATLkbk_L</t>
        </is>
      </c>
      <c r="C43" s="4" t="inlineStr">
        <is>
          <t>F0</t>
        </is>
      </c>
      <c r="D43" s="5" t="inlineStr">
        <is>
          <t>LONG</t>
        </is>
      </c>
      <c r="E43" s="4" t="n">
        <v>33</v>
      </c>
      <c r="F43" s="6" t="n">
        <v>0.9390000000000001</v>
      </c>
      <c r="G43" s="7" t="n">
        <v>6.24</v>
      </c>
      <c r="H43" s="8" t="n">
        <v>904.6</v>
      </c>
      <c r="I43" s="4" t="inlineStr">
        <is>
          <t>6/6</t>
        </is>
      </c>
      <c r="J43" s="4" t="inlineStr">
        <is>
          <t>12/13</t>
        </is>
      </c>
      <c r="K43" s="4" t="inlineStr">
        <is>
          <t>5/5</t>
        </is>
      </c>
      <c r="L43" s="4" t="n">
        <v>-77</v>
      </c>
      <c r="M43" s="4" t="n">
        <v>1</v>
      </c>
    </row>
    <row r="44">
      <c r="A44" s="3" t="n">
        <v>19</v>
      </c>
      <c r="B44" s="4" t="inlineStr">
        <is>
          <t>BX_VolOfVol_L</t>
        </is>
      </c>
      <c r="C44" s="4" t="inlineStr">
        <is>
          <t>F0</t>
        </is>
      </c>
      <c r="D44" s="5" t="inlineStr">
        <is>
          <t>LONG</t>
        </is>
      </c>
      <c r="E44" s="4" t="n">
        <v>59</v>
      </c>
      <c r="F44" s="6" t="n">
        <v>0.9320000000000001</v>
      </c>
      <c r="G44" s="7" t="n">
        <v>5.57</v>
      </c>
      <c r="H44" s="8" t="n">
        <v>1543.1</v>
      </c>
      <c r="I44" s="4" t="inlineStr">
        <is>
          <t>6/6</t>
        </is>
      </c>
      <c r="J44" s="4" t="inlineStr">
        <is>
          <t>14/15</t>
        </is>
      </c>
      <c r="K44" s="4" t="inlineStr">
        <is>
          <t>4/5</t>
        </is>
      </c>
      <c r="L44" s="4" t="n">
        <v>-10.1</v>
      </c>
      <c r="M44" s="4" t="n">
        <v>1</v>
      </c>
    </row>
    <row r="45">
      <c r="A45" s="3" t="n">
        <v>20</v>
      </c>
      <c r="B45" s="4" t="inlineStr">
        <is>
          <t>BX_D2DATRma_L</t>
        </is>
      </c>
      <c r="C45" s="4" t="inlineStr">
        <is>
          <t>F0</t>
        </is>
      </c>
      <c r="D45" s="5" t="inlineStr">
        <is>
          <t>LONG</t>
        </is>
      </c>
      <c r="E45" s="4" t="n">
        <v>38</v>
      </c>
      <c r="F45" s="6" t="n">
        <v>0.9209999999999999</v>
      </c>
      <c r="G45" s="7" t="n">
        <v>3.76</v>
      </c>
      <c r="H45" s="8" t="n">
        <v>903.5</v>
      </c>
      <c r="I45" s="4" t="inlineStr">
        <is>
          <t>6/6</t>
        </is>
      </c>
      <c r="J45" s="4" t="inlineStr">
        <is>
          <t>9/10</t>
        </is>
      </c>
      <c r="K45" s="4" t="inlineStr">
        <is>
          <t>5/5</t>
        </is>
      </c>
      <c r="L45" s="4" t="n">
        <v>-31.8</v>
      </c>
      <c r="M45" s="4" t="n">
        <v>1</v>
      </c>
    </row>
    <row r="46">
      <c r="A46" s="3" t="n">
        <v>21</v>
      </c>
      <c r="B46" s="4" t="inlineStr">
        <is>
          <t>BX_BarRng_L</t>
        </is>
      </c>
      <c r="C46" s="4" t="inlineStr">
        <is>
          <t>F0</t>
        </is>
      </c>
      <c r="D46" s="5" t="inlineStr">
        <is>
          <t>LONG</t>
        </is>
      </c>
      <c r="E46" s="4" t="n">
        <v>34</v>
      </c>
      <c r="F46" s="6" t="n">
        <v>0.853</v>
      </c>
      <c r="G46" s="7" t="n">
        <v>3.39</v>
      </c>
      <c r="H46" s="8" t="n">
        <v>598.4</v>
      </c>
      <c r="I46" s="4" t="inlineStr">
        <is>
          <t>6/6</t>
        </is>
      </c>
      <c r="J46" s="4" t="inlineStr">
        <is>
          <t>10/13</t>
        </is>
      </c>
      <c r="K46" s="4" t="inlineStr">
        <is>
          <t>5/5</t>
        </is>
      </c>
      <c r="L46" s="4" t="n">
        <v>-44.3</v>
      </c>
      <c r="M46" s="4" t="n">
        <v>2</v>
      </c>
    </row>
    <row r="47">
      <c r="A47" s="3" t="n">
        <v>22</v>
      </c>
      <c r="B47" s="4" t="inlineStr">
        <is>
          <t>BX_BarRng_L</t>
        </is>
      </c>
      <c r="C47" s="4" t="inlineStr">
        <is>
          <t>F0</t>
        </is>
      </c>
      <c r="D47" s="5" t="inlineStr">
        <is>
          <t>LONG</t>
        </is>
      </c>
      <c r="E47" s="4" t="n">
        <v>46</v>
      </c>
      <c r="F47" s="6" t="n">
        <v>0.848</v>
      </c>
      <c r="G47" s="7" t="n">
        <v>3.02</v>
      </c>
      <c r="H47" s="8" t="n">
        <v>1069.6</v>
      </c>
      <c r="I47" s="4" t="inlineStr">
        <is>
          <t>6/6</t>
        </is>
      </c>
      <c r="J47" s="4" t="inlineStr">
        <is>
          <t>13/15</t>
        </is>
      </c>
      <c r="K47" s="4" t="inlineStr">
        <is>
          <t>5/5</t>
        </is>
      </c>
      <c r="L47" s="4" t="n">
        <v>-115.8</v>
      </c>
      <c r="M47" s="4" t="n">
        <v>2</v>
      </c>
    </row>
    <row r="48">
      <c r="A48" s="3" t="n">
        <v>23</v>
      </c>
      <c r="B48" s="4" t="inlineStr">
        <is>
          <t>BX_ATLkbk_S</t>
        </is>
      </c>
      <c r="C48" s="4" t="inlineStr">
        <is>
          <t>F0</t>
        </is>
      </c>
      <c r="D48" s="9" t="inlineStr">
        <is>
          <t>SHORT</t>
        </is>
      </c>
      <c r="E48" s="4" t="n">
        <v>45</v>
      </c>
      <c r="F48" s="6" t="n">
        <v>0.9329999999999999</v>
      </c>
      <c r="G48" s="7" t="n">
        <v>5.71</v>
      </c>
      <c r="H48" s="8" t="n">
        <v>779.4</v>
      </c>
      <c r="I48" s="4" t="inlineStr">
        <is>
          <t>6/6</t>
        </is>
      </c>
      <c r="J48" s="4" t="inlineStr">
        <is>
          <t>16/18</t>
        </is>
      </c>
      <c r="K48" s="4" t="inlineStr">
        <is>
          <t>5/5</t>
        </is>
      </c>
      <c r="L48" s="4" t="n">
        <v>-58.8</v>
      </c>
      <c r="M48" s="4" t="n">
        <v>1</v>
      </c>
    </row>
    <row r="49">
      <c r="A49" s="2" t="inlineStr">
        <is>
          <t>SQUEEZE_BREAKOUT — Volatility compression (squeeze) resolving into a directional break (1L / 0S) — STANDALONE  [F1 SEQUENTIAL]</t>
        </is>
      </c>
    </row>
    <row r="50">
      <c r="A50" s="10" t="n">
        <v>1</v>
      </c>
      <c r="B50" s="4" t="inlineStr">
        <is>
          <t>SB_SqzVal_L</t>
        </is>
      </c>
      <c r="C50" s="11" t="inlineStr">
        <is>
          <t>F1-seq</t>
        </is>
      </c>
      <c r="D50" s="5" t="inlineStr">
        <is>
          <t>LONG</t>
        </is>
      </c>
      <c r="E50" s="4" t="n">
        <v>33</v>
      </c>
      <c r="F50" s="6" t="n">
        <v>0.9390000000000001</v>
      </c>
      <c r="G50" s="7" t="n">
        <v>9.69</v>
      </c>
      <c r="H50" s="8" t="n">
        <v>864.7</v>
      </c>
      <c r="I50" s="4" t="inlineStr">
        <is>
          <t>6/6</t>
        </is>
      </c>
      <c r="J50" s="4" t="inlineStr">
        <is>
          <t>20/20</t>
        </is>
      </c>
      <c r="K50" s="4" t="inlineStr">
        <is>
          <t>4/5</t>
        </is>
      </c>
      <c r="L50" s="4" t="n">
        <v>10.4</v>
      </c>
      <c r="M50" s="4" t="n">
        <v>1</v>
      </c>
    </row>
    <row r="51">
      <c r="A51" s="2" t="inlineStr">
        <is>
          <t>PRICE_ACTION — Wick / body / impulse micro-structure — rejection and thrust at the entry (3L / 1S) — STANDALONE</t>
        </is>
      </c>
    </row>
    <row r="52">
      <c r="A52" s="3" t="n">
        <v>45</v>
      </c>
      <c r="B52" s="4" t="inlineStr">
        <is>
          <t>PA_Reject_L</t>
        </is>
      </c>
      <c r="C52" s="4" t="inlineStr">
        <is>
          <t>F0</t>
        </is>
      </c>
      <c r="D52" s="5" t="inlineStr">
        <is>
          <t>LONG</t>
        </is>
      </c>
      <c r="E52" s="4" t="n">
        <v>32</v>
      </c>
      <c r="F52" s="6" t="n">
        <v>0.9059999999999999</v>
      </c>
      <c r="G52" s="7" t="n">
        <v>15.67</v>
      </c>
      <c r="H52" s="8" t="n">
        <v>1977.4</v>
      </c>
      <c r="I52" s="4" t="inlineStr">
        <is>
          <t>6/6</t>
        </is>
      </c>
      <c r="J52" s="4" t="inlineStr">
        <is>
          <t>11/11</t>
        </is>
      </c>
      <c r="K52" s="4" t="inlineStr">
        <is>
          <t>3/5</t>
        </is>
      </c>
      <c r="L52" s="4" t="n">
        <v>14</v>
      </c>
      <c r="M52" s="4" t="n">
        <v>1</v>
      </c>
    </row>
    <row r="53">
      <c r="A53" s="3" t="n">
        <v>46</v>
      </c>
      <c r="B53" s="4" t="inlineStr">
        <is>
          <t>PA_MicroGa_L</t>
        </is>
      </c>
      <c r="C53" s="4" t="inlineStr">
        <is>
          <t>F0</t>
        </is>
      </c>
      <c r="D53" s="5" t="inlineStr">
        <is>
          <t>LONG</t>
        </is>
      </c>
      <c r="E53" s="4" t="n">
        <v>32</v>
      </c>
      <c r="F53" s="6" t="n">
        <v>0.9690000000000001</v>
      </c>
      <c r="G53" s="7" t="n">
        <v>14.18</v>
      </c>
      <c r="H53" s="8" t="n">
        <v>784.1</v>
      </c>
      <c r="I53" s="4" t="inlineStr">
        <is>
          <t>6/6</t>
        </is>
      </c>
      <c r="J53" s="4" t="inlineStr">
        <is>
          <t>13/14</t>
        </is>
      </c>
      <c r="K53" s="4" t="inlineStr">
        <is>
          <t>4/5</t>
        </is>
      </c>
      <c r="L53" s="4" t="n">
        <v>-29.9</v>
      </c>
      <c r="M53" s="4" t="n">
        <v>1</v>
      </c>
    </row>
    <row r="54">
      <c r="A54" s="3" t="n">
        <v>47</v>
      </c>
      <c r="B54" s="4" t="inlineStr">
        <is>
          <t>PA_Entropy_L</t>
        </is>
      </c>
      <c r="C54" s="4" t="inlineStr">
        <is>
          <t>F0</t>
        </is>
      </c>
      <c r="D54" s="5" t="inlineStr">
        <is>
          <t>LONG</t>
        </is>
      </c>
      <c r="E54" s="4" t="n">
        <v>39</v>
      </c>
      <c r="F54" s="6" t="n">
        <v>0.9490000000000001</v>
      </c>
      <c r="G54" s="7" t="n">
        <v>9.57</v>
      </c>
      <c r="H54" s="8" t="n">
        <v>1060.9</v>
      </c>
      <c r="I54" s="4" t="inlineStr">
        <is>
          <t>6/6</t>
        </is>
      </c>
      <c r="J54" s="4" t="inlineStr">
        <is>
          <t>14/15</t>
        </is>
      </c>
      <c r="K54" s="4" t="inlineStr">
        <is>
          <t>5/5</t>
        </is>
      </c>
      <c r="L54" s="4" t="n">
        <v>-38.4</v>
      </c>
      <c r="M54" s="4" t="n">
        <v>1</v>
      </c>
    </row>
    <row r="55">
      <c r="A55" s="3" t="n">
        <v>48</v>
      </c>
      <c r="B55" s="4" t="inlineStr">
        <is>
          <t>PA_VolAcc_S</t>
        </is>
      </c>
      <c r="C55" s="4" t="inlineStr">
        <is>
          <t>F0</t>
        </is>
      </c>
      <c r="D55" s="9" t="inlineStr">
        <is>
          <t>SHORT</t>
        </is>
      </c>
      <c r="E55" s="4" t="n">
        <v>42</v>
      </c>
      <c r="F55" s="6" t="n">
        <v>0.976</v>
      </c>
      <c r="G55" s="7" t="n">
        <v>13.39</v>
      </c>
      <c r="H55" s="8" t="n">
        <v>645.8</v>
      </c>
      <c r="I55" s="4" t="inlineStr">
        <is>
          <t>6/6</t>
        </is>
      </c>
      <c r="J55" s="4" t="inlineStr">
        <is>
          <t>16/17</t>
        </is>
      </c>
      <c r="K55" s="4" t="inlineStr">
        <is>
          <t>5/5</t>
        </is>
      </c>
      <c r="L55" s="4" t="n">
        <v>-22.5</v>
      </c>
      <c r="M55" s="4" t="n">
        <v>1</v>
      </c>
    </row>
    <row r="56">
      <c r="A56" s="2" t="inlineStr">
        <is>
          <t>TREND_EXHAUSTION — Trend momentum fading / flattening — reversal building at the turn (1L / 0S) — STANDALONE  [F1 SEQUENTIAL]</t>
        </is>
      </c>
    </row>
    <row r="57">
      <c r="A57" s="10" t="n">
        <v>50</v>
      </c>
      <c r="B57" s="4" t="inlineStr">
        <is>
          <t>TE_ADXris_L</t>
        </is>
      </c>
      <c r="C57" s="11" t="inlineStr">
        <is>
          <t>F1-seq</t>
        </is>
      </c>
      <c r="D57" s="5" t="inlineStr">
        <is>
          <t>LONG</t>
        </is>
      </c>
      <c r="E57" s="4" t="n">
        <v>42</v>
      </c>
      <c r="F57" s="6" t="n">
        <v>0.929</v>
      </c>
      <c r="G57" s="7" t="n">
        <v>4.75</v>
      </c>
      <c r="H57" s="8" t="n">
        <v>992.8</v>
      </c>
      <c r="I57" s="4" t="inlineStr">
        <is>
          <t>6/6</t>
        </is>
      </c>
      <c r="J57" s="4" t="inlineStr">
        <is>
          <t>18/21</t>
        </is>
      </c>
      <c r="K57" s="4" t="inlineStr">
        <is>
          <t>4/5</t>
        </is>
      </c>
      <c r="L57" s="4" t="n">
        <v>-71.8</v>
      </c>
      <c r="M57" s="4" t="n">
        <v>1</v>
      </c>
    </row>
    <row r="58">
      <c r="A58" s="2" t="inlineStr">
        <is>
          <t>VOLUME_CONFIRMED — Volume confirms the directional setup — participation validates the move (0L / 1S) — STANDALONE</t>
        </is>
      </c>
    </row>
    <row r="59">
      <c r="A59" s="3" t="n">
        <v>49</v>
      </c>
      <c r="B59" s="4" t="inlineStr">
        <is>
          <t>VC_VolRat_S</t>
        </is>
      </c>
      <c r="C59" s="4" t="inlineStr">
        <is>
          <t>F0</t>
        </is>
      </c>
      <c r="D59" s="9" t="inlineStr">
        <is>
          <t>SHORT</t>
        </is>
      </c>
      <c r="E59" s="4" t="n">
        <v>31</v>
      </c>
      <c r="F59" s="6" t="n">
        <v>0.968</v>
      </c>
      <c r="G59" s="7" t="n">
        <v>7.63</v>
      </c>
      <c r="H59" s="8" t="n">
        <v>520.6</v>
      </c>
      <c r="I59" s="4" t="inlineStr">
        <is>
          <t>6/6</t>
        </is>
      </c>
      <c r="J59" s="4" t="inlineStr">
        <is>
          <t>16/17</t>
        </is>
      </c>
      <c r="K59" s="4" t="inlineStr">
        <is>
          <t>4/5</t>
        </is>
      </c>
      <c r="L59" s="4" t="n">
        <v>-46.8</v>
      </c>
      <c r="M59" s="4" t="n">
        <v>1</v>
      </c>
    </row>
    <row r="61">
      <c r="A61" s="2" t="inlineStr">
        <is>
          <t>SINGLE-VARIABLE (S.20) — conviction sizing + gap entries</t>
        </is>
      </c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</row>
    <row r="62">
      <c r="A62" s="16" t="inlineStr">
        <is>
          <t>S1</t>
        </is>
      </c>
      <c r="B62" s="4" t="inlineStr">
        <is>
          <t>SV_Hurst_L</t>
        </is>
      </c>
      <c r="C62" s="4" t="inlineStr">
        <is>
          <t>SV-gap</t>
        </is>
      </c>
      <c r="D62" s="5" t="inlineStr">
        <is>
          <t>LONG</t>
        </is>
      </c>
      <c r="E62" s="4" t="n">
        <v>97</v>
      </c>
      <c r="F62" s="6" t="n">
        <v>0.907</v>
      </c>
      <c r="G62" s="7" t="n">
        <v>8.960000000000001</v>
      </c>
      <c r="H62" s="8" t="n">
        <v>6090.6</v>
      </c>
      <c r="I62" s="4" t="inlineStr">
        <is>
          <t>6/6</t>
        </is>
      </c>
      <c r="J62" s="4" t="inlineStr">
        <is>
          <t>19/20</t>
        </is>
      </c>
      <c r="K62" s="4" t="inlineStr">
        <is>
          <t>5/5</t>
        </is>
      </c>
      <c r="L62" s="4" t="n">
        <v>-118</v>
      </c>
      <c r="M62" s="4" t="n">
        <v>1</v>
      </c>
    </row>
    <row r="63">
      <c r="A63" s="16" t="inlineStr">
        <is>
          <t>S2</t>
        </is>
      </c>
      <c r="B63" s="4" t="inlineStr">
        <is>
          <t>SV_FailBrk_L</t>
        </is>
      </c>
      <c r="C63" s="4" t="inlineStr">
        <is>
          <t>SV-gap</t>
        </is>
      </c>
      <c r="D63" s="5" t="inlineStr">
        <is>
          <t>LONG</t>
        </is>
      </c>
      <c r="E63" s="4" t="n">
        <v>370</v>
      </c>
      <c r="F63" s="6" t="n">
        <v>0.9</v>
      </c>
      <c r="G63" s="7" t="n">
        <v>4.82</v>
      </c>
      <c r="H63" s="8" t="n">
        <v>19834.1</v>
      </c>
      <c r="I63" s="4" t="inlineStr">
        <is>
          <t>6/6</t>
        </is>
      </c>
      <c r="J63" s="4" t="inlineStr">
        <is>
          <t>22/22</t>
        </is>
      </c>
      <c r="K63" s="4" t="inlineStr">
        <is>
          <t>6/6</t>
        </is>
      </c>
      <c r="L63" s="4" t="n">
        <v>102.4</v>
      </c>
      <c r="M63" s="4" t="n">
        <v>2</v>
      </c>
    </row>
  </sheetData>
  <mergeCells count="8">
    <mergeCell ref="A58:M58"/>
    <mergeCell ref="A40:M40"/>
    <mergeCell ref="A18:M18"/>
    <mergeCell ref="A56:M56"/>
    <mergeCell ref="A51:M51"/>
    <mergeCell ref="A2:M2"/>
    <mergeCell ref="A33:M33"/>
    <mergeCell ref="A49:M4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8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2" customWidth="1" min="3" max="3"/>
    <col width="16" customWidth="1" min="4" max="4"/>
    <col width="34" customWidth="1" min="5" max="5"/>
    <col width="42" customWidth="1" min="6" max="6"/>
  </cols>
  <sheetData>
    <row r="1">
      <c r="A1" s="1" t="inlineStr">
        <is>
          <t>Variable</t>
        </is>
      </c>
      <c r="B1" s="1" t="inlineStr">
        <is>
          <t>Hi/Lo</t>
        </is>
      </c>
      <c r="C1" s="1" t="inlineStr">
        <is>
          <t>Percentile</t>
        </is>
      </c>
      <c r="D1" s="1" t="inlineStr">
        <is>
          <t>Value (median)</t>
        </is>
      </c>
      <c r="E1" s="1" t="inlineStr">
        <is>
          <t>Tier</t>
        </is>
      </c>
      <c r="F1" s="1" t="inlineStr">
        <is>
          <t>Meaning</t>
        </is>
      </c>
    </row>
    <row r="2">
      <c r="A2" s="2" t="inlineStr">
        <is>
          <t>ADAPTIVE (rolling-2500 floor-index percentile, day-refreshed)</t>
        </is>
      </c>
    </row>
    <row r="3">
      <c r="A3" s="4" t="inlineStr">
        <is>
          <t>ADX_Value</t>
        </is>
      </c>
      <c r="B3" s="4" t="inlineStr">
        <is>
          <t>hi</t>
        </is>
      </c>
      <c r="C3" s="4" t="inlineStr">
        <is>
          <t>p80</t>
        </is>
      </c>
      <c r="D3" s="12" t="n">
        <v>34.3801</v>
      </c>
      <c r="E3" s="4" t="inlineStr">
        <is>
          <t>ADAPTIVE (rolling-2500)</t>
        </is>
      </c>
      <c r="F3" s="4" t="inlineStr">
        <is>
          <t>fires at/above adaptive high extreme</t>
        </is>
      </c>
    </row>
    <row r="4">
      <c r="A4" s="4" t="inlineStr">
        <is>
          <t>ADX_Value</t>
        </is>
      </c>
      <c r="B4" s="4" t="inlineStr">
        <is>
          <t>lo</t>
        </is>
      </c>
      <c r="C4" s="4" t="inlineStr">
        <is>
          <t>p20</t>
        </is>
      </c>
      <c r="D4" s="12" t="n">
        <v>18.74</v>
      </c>
      <c r="E4" s="4" t="inlineStr">
        <is>
          <t>ADAPTIVE (rolling-2500)</t>
        </is>
      </c>
      <c r="F4" s="4" t="inlineStr">
        <is>
          <t>fires at/below adaptive low extreme</t>
        </is>
      </c>
    </row>
    <row r="5">
      <c r="A5" s="4" t="inlineStr">
        <is>
          <t>AT_Lookback_ST</t>
        </is>
      </c>
      <c r="B5" s="4" t="inlineStr">
        <is>
          <t>hi</t>
        </is>
      </c>
      <c r="C5" s="4" t="inlineStr">
        <is>
          <t>p80</t>
        </is>
      </c>
      <c r="D5" s="12" t="n">
        <v>40</v>
      </c>
      <c r="E5" s="4" t="inlineStr">
        <is>
          <t>ADAPTIVE (rolling-2500)</t>
        </is>
      </c>
      <c r="F5" s="4" t="inlineStr">
        <is>
          <t>fires at/above adaptive high extreme</t>
        </is>
      </c>
    </row>
    <row r="6">
      <c r="A6" s="4" t="inlineStr">
        <is>
          <t>AT_Slope_ST</t>
        </is>
      </c>
      <c r="B6" s="4" t="inlineStr">
        <is>
          <t>hi</t>
        </is>
      </c>
      <c r="C6" s="4" t="inlineStr">
        <is>
          <t>p80</t>
        </is>
      </c>
      <c r="D6" s="12" t="n">
        <v>0</v>
      </c>
      <c r="E6" s="4" t="inlineStr">
        <is>
          <t>ADAPTIVE (rolling-2500)</t>
        </is>
      </c>
      <c r="F6" s="4" t="inlineStr">
        <is>
          <t>fires at/above adaptive high extreme</t>
        </is>
      </c>
    </row>
    <row r="7">
      <c r="A7" s="4" t="inlineStr">
        <is>
          <t>AT_Slope_ST</t>
        </is>
      </c>
      <c r="B7" s="4" t="inlineStr">
        <is>
          <t>lo</t>
        </is>
      </c>
      <c r="C7" s="4" t="inlineStr">
        <is>
          <t>p20</t>
        </is>
      </c>
      <c r="D7" s="12" t="n">
        <v>-0.0001</v>
      </c>
      <c r="E7" s="4" t="inlineStr">
        <is>
          <t>ADAPTIVE (rolling-2500)</t>
        </is>
      </c>
      <c r="F7" s="4" t="inlineStr">
        <is>
          <t>fires at/below adaptive low extreme</t>
        </is>
      </c>
    </row>
    <row r="8">
      <c r="A8" s="4" t="inlineStr">
        <is>
          <t>Bar_Range</t>
        </is>
      </c>
      <c r="B8" s="4" t="inlineStr">
        <is>
          <t>hi</t>
        </is>
      </c>
      <c r="C8" s="4" t="inlineStr">
        <is>
          <t>p80</t>
        </is>
      </c>
      <c r="D8" s="12" t="n">
        <v>24</v>
      </c>
      <c r="E8" s="4" t="inlineStr">
        <is>
          <t>ADAPTIVE (rolling-2500)</t>
        </is>
      </c>
      <c r="F8" s="4" t="inlineStr">
        <is>
          <t>fires at/above adaptive high extreme</t>
        </is>
      </c>
    </row>
    <row r="9">
      <c r="A9" s="4" t="inlineStr">
        <is>
          <t>Bars_Since_Flip</t>
        </is>
      </c>
      <c r="B9" s="4" t="inlineStr">
        <is>
          <t>hi</t>
        </is>
      </c>
      <c r="C9" s="4" t="inlineStr">
        <is>
          <t>p80</t>
        </is>
      </c>
      <c r="D9" s="12" t="n">
        <v>45</v>
      </c>
      <c r="E9" s="4" t="inlineStr">
        <is>
          <t>ADAPTIVE (rolling-2500)</t>
        </is>
      </c>
      <c r="F9" s="4" t="inlineStr">
        <is>
          <t>fires at/above adaptive high extreme</t>
        </is>
      </c>
    </row>
    <row r="10">
      <c r="A10" s="4" t="inlineStr">
        <is>
          <t>Body_Size</t>
        </is>
      </c>
      <c r="B10" s="4" t="inlineStr">
        <is>
          <t>hi</t>
        </is>
      </c>
      <c r="C10" s="4" t="inlineStr">
        <is>
          <t>p80</t>
        </is>
      </c>
      <c r="D10" s="12" t="n">
        <v>14</v>
      </c>
      <c r="E10" s="4" t="inlineStr">
        <is>
          <t>ADAPTIVE (rolling-2500)</t>
        </is>
      </c>
      <c r="F10" s="4" t="inlineStr">
        <is>
          <t>fires at/above adaptive high extreme</t>
        </is>
      </c>
    </row>
    <row r="11">
      <c r="A11" s="4" t="inlineStr">
        <is>
          <t>Body_Size</t>
        </is>
      </c>
      <c r="B11" s="4" t="inlineStr">
        <is>
          <t>lo</t>
        </is>
      </c>
      <c r="C11" s="4" t="inlineStr">
        <is>
          <t>p20</t>
        </is>
      </c>
      <c r="D11" s="12" t="n">
        <v>2.01</v>
      </c>
      <c r="E11" s="4" t="inlineStr">
        <is>
          <t>ADAPTIVE (rolling-2500)</t>
        </is>
      </c>
      <c r="F11" s="4" t="inlineStr">
        <is>
          <t>fires at/below adaptive low extreme</t>
        </is>
      </c>
    </row>
    <row r="12">
      <c r="A12" s="4" t="inlineStr">
        <is>
          <t>D2D_ATR</t>
        </is>
      </c>
      <c r="B12" s="4" t="inlineStr">
        <is>
          <t>hi</t>
        </is>
      </c>
      <c r="C12" s="4" t="inlineStr">
        <is>
          <t>p80</t>
        </is>
      </c>
      <c r="D12" s="12" t="n">
        <v>23.9926</v>
      </c>
      <c r="E12" s="4" t="inlineStr">
        <is>
          <t>ADAPTIVE (rolling-2500)</t>
        </is>
      </c>
      <c r="F12" s="4" t="inlineStr">
        <is>
          <t>fires at/above adaptive high extreme</t>
        </is>
      </c>
    </row>
    <row r="13">
      <c r="A13" s="4" t="inlineStr">
        <is>
          <t>D2D_ATR_MA</t>
        </is>
      </c>
      <c r="B13" s="4" t="inlineStr">
        <is>
          <t>hi</t>
        </is>
      </c>
      <c r="C13" s="4" t="inlineStr">
        <is>
          <t>p80</t>
        </is>
      </c>
      <c r="D13" s="12" t="n">
        <v>24.1582</v>
      </c>
      <c r="E13" s="4" t="inlineStr">
        <is>
          <t>ADAPTIVE (rolling-2500)</t>
        </is>
      </c>
      <c r="F13" s="4" t="inlineStr">
        <is>
          <t>fires at/above adaptive high extreme</t>
        </is>
      </c>
    </row>
    <row r="14">
      <c r="A14" s="4" t="inlineStr">
        <is>
          <t>D2D_Dynamic_Sensitivity</t>
        </is>
      </c>
      <c r="B14" s="4" t="inlineStr">
        <is>
          <t>lo</t>
        </is>
      </c>
      <c r="C14" s="4" t="inlineStr">
        <is>
          <t>p20</t>
        </is>
      </c>
      <c r="D14" s="12" t="n">
        <v>1.8</v>
      </c>
      <c r="E14" s="4" t="inlineStr">
        <is>
          <t>ADAPTIVE (rolling-2500)</t>
        </is>
      </c>
      <c r="F14" s="4" t="inlineStr">
        <is>
          <t>fires at/below adaptive low extreme</t>
        </is>
      </c>
    </row>
    <row r="15">
      <c r="A15" s="4" t="inlineStr">
        <is>
          <t>EMA_Oscillator</t>
        </is>
      </c>
      <c r="B15" s="4" t="inlineStr">
        <is>
          <t>lo</t>
        </is>
      </c>
      <c r="C15" s="4" t="inlineStr">
        <is>
          <t>p20</t>
        </is>
      </c>
      <c r="D15" s="12" t="n">
        <v>-11.1638</v>
      </c>
      <c r="E15" s="4" t="inlineStr">
        <is>
          <t>ADAPTIVE (rolling-2500)</t>
        </is>
      </c>
      <c r="F15" s="4" t="inlineStr">
        <is>
          <t>fires at/below adaptive low extreme</t>
        </is>
      </c>
    </row>
    <row r="16">
      <c r="A16" s="4" t="inlineStr">
        <is>
          <t>Efficiency_Ratio</t>
        </is>
      </c>
      <c r="B16" s="4" t="inlineStr">
        <is>
          <t>hi</t>
        </is>
      </c>
      <c r="C16" s="4" t="inlineStr">
        <is>
          <t>p80</t>
        </is>
      </c>
      <c r="D16" s="12" t="n">
        <v>0.5544</v>
      </c>
      <c r="E16" s="4" t="inlineStr">
        <is>
          <t>ADAPTIVE (rolling-2500)</t>
        </is>
      </c>
      <c r="F16" s="4" t="inlineStr">
        <is>
          <t>fires at/above adaptive high extreme</t>
        </is>
      </c>
    </row>
    <row r="17">
      <c r="A17" s="4" t="inlineStr">
        <is>
          <t>KAMA_Dist</t>
        </is>
      </c>
      <c r="B17" s="4" t="inlineStr">
        <is>
          <t>lo</t>
        </is>
      </c>
      <c r="C17" s="4" t="inlineStr">
        <is>
          <t>p20</t>
        </is>
      </c>
      <c r="D17" s="12" t="n">
        <v>-31.9411</v>
      </c>
      <c r="E17" s="4" t="inlineStr">
        <is>
          <t>ADAPTIVE (rolling-2500)</t>
        </is>
      </c>
      <c r="F17" s="4" t="inlineStr">
        <is>
          <t>fires at/below adaptive low extreme</t>
        </is>
      </c>
    </row>
    <row r="18">
      <c r="A18" s="4" t="inlineStr">
        <is>
          <t>Micro_AutoCorr</t>
        </is>
      </c>
      <c r="B18" s="4" t="inlineStr">
        <is>
          <t>hi</t>
        </is>
      </c>
      <c r="C18" s="4" t="inlineStr">
        <is>
          <t>p80</t>
        </is>
      </c>
      <c r="D18" s="12" t="n">
        <v>0.1607</v>
      </c>
      <c r="E18" s="4" t="inlineStr">
        <is>
          <t>ADAPTIVE (rolling-2500)</t>
        </is>
      </c>
      <c r="F18" s="4" t="inlineStr">
        <is>
          <t>fires at/above adaptive high extreme</t>
        </is>
      </c>
    </row>
    <row r="19">
      <c r="A19" s="4" t="inlineStr">
        <is>
          <t>Micro_BarEntropy</t>
        </is>
      </c>
      <c r="B19" s="4" t="inlineStr">
        <is>
          <t>hi</t>
        </is>
      </c>
      <c r="C19" s="4" t="inlineStr">
        <is>
          <t>p80</t>
        </is>
      </c>
      <c r="D19" s="12" t="n">
        <v>0.9029</v>
      </c>
      <c r="E19" s="4" t="inlineStr">
        <is>
          <t>ADAPTIVE (rolling-2500)</t>
        </is>
      </c>
      <c r="F19" s="4" t="inlineStr">
        <is>
          <t>fires at/above adaptive high extreme</t>
        </is>
      </c>
    </row>
    <row r="20">
      <c r="A20" s="4" t="inlineStr">
        <is>
          <t>Micro_CSSpread</t>
        </is>
      </c>
      <c r="B20" s="4" t="inlineStr">
        <is>
          <t>lo</t>
        </is>
      </c>
      <c r="C20" s="4" t="inlineStr">
        <is>
          <t>p20</t>
        </is>
      </c>
      <c r="D20" s="12" t="n">
        <v>0.6894</v>
      </c>
      <c r="E20" s="4" t="inlineStr">
        <is>
          <t>ADAPTIVE (rolling-2500)</t>
        </is>
      </c>
      <c r="F20" s="4" t="inlineStr">
        <is>
          <t>fires at/below adaptive low extreme</t>
        </is>
      </c>
    </row>
    <row r="21">
      <c r="A21" s="4" t="inlineStr">
        <is>
          <t>Micro_Entropy</t>
        </is>
      </c>
      <c r="B21" s="4" t="inlineStr">
        <is>
          <t>lo</t>
        </is>
      </c>
      <c r="C21" s="4" t="inlineStr">
        <is>
          <t>p20</t>
        </is>
      </c>
      <c r="D21" s="12" t="n">
        <v>0.8173</v>
      </c>
      <c r="E21" s="4" t="inlineStr">
        <is>
          <t>ADAPTIVE (rolling-2500)</t>
        </is>
      </c>
      <c r="F21" s="4" t="inlineStr">
        <is>
          <t>fires at/below adaptive low extreme</t>
        </is>
      </c>
    </row>
    <row r="22">
      <c r="A22" s="4" t="inlineStr">
        <is>
          <t>Micro_HLAsymmetry</t>
        </is>
      </c>
      <c r="B22" s="4" t="inlineStr">
        <is>
          <t>hi</t>
        </is>
      </c>
      <c r="C22" s="4" t="inlineStr">
        <is>
          <t>p80</t>
        </is>
      </c>
      <c r="D22" s="12" t="n">
        <v>14</v>
      </c>
      <c r="E22" s="4" t="inlineStr">
        <is>
          <t>ADAPTIVE (rolling-2500)</t>
        </is>
      </c>
      <c r="F22" s="4" t="inlineStr">
        <is>
          <t>fires at/above adaptive high extreme</t>
        </is>
      </c>
    </row>
    <row r="23">
      <c r="A23" s="4" t="inlineStr">
        <is>
          <t>Micro_HLAsymmetry</t>
        </is>
      </c>
      <c r="B23" s="4" t="inlineStr">
        <is>
          <t>lo</t>
        </is>
      </c>
      <c r="C23" s="4" t="inlineStr">
        <is>
          <t>p20</t>
        </is>
      </c>
      <c r="D23" s="12" t="n">
        <v>-13.5</v>
      </c>
      <c r="E23" s="4" t="inlineStr">
        <is>
          <t>ADAPTIVE (rolling-2500)</t>
        </is>
      </c>
      <c r="F23" s="4" t="inlineStr">
        <is>
          <t>fires at/below adaptive low extreme</t>
        </is>
      </c>
    </row>
    <row r="24">
      <c r="A24" s="4" t="inlineStr">
        <is>
          <t>Micro_Hurst</t>
        </is>
      </c>
      <c r="B24" s="4" t="inlineStr">
        <is>
          <t>hi</t>
        </is>
      </c>
      <c r="C24" s="4" t="inlineStr">
        <is>
          <t>p80</t>
        </is>
      </c>
      <c r="D24" s="12" t="n">
        <v>0.4939</v>
      </c>
      <c r="E24" s="4" t="inlineStr">
        <is>
          <t>ADAPTIVE (rolling-2500)</t>
        </is>
      </c>
      <c r="F24" s="4" t="inlineStr">
        <is>
          <t>fires at/above adaptive high extreme</t>
        </is>
      </c>
    </row>
    <row r="25">
      <c r="A25" s="4" t="inlineStr">
        <is>
          <t>Micro_IBSP</t>
        </is>
      </c>
      <c r="B25" s="4" t="inlineStr">
        <is>
          <t>hi</t>
        </is>
      </c>
      <c r="C25" s="4" t="inlineStr">
        <is>
          <t>p80</t>
        </is>
      </c>
      <c r="D25" s="12" t="n">
        <v>0.8421</v>
      </c>
      <c r="E25" s="4" t="inlineStr">
        <is>
          <t>ADAPTIVE (rolling-2500)</t>
        </is>
      </c>
      <c r="F25" s="4" t="inlineStr">
        <is>
          <t>fires at/above adaptive high extreme</t>
        </is>
      </c>
    </row>
    <row r="26">
      <c r="A26" s="4" t="inlineStr">
        <is>
          <t>Micro_IBSP</t>
        </is>
      </c>
      <c r="B26" s="4" t="inlineStr">
        <is>
          <t>lo</t>
        </is>
      </c>
      <c r="C26" s="4" t="inlineStr">
        <is>
          <t>p20</t>
        </is>
      </c>
      <c r="D26" s="12" t="n">
        <v>0.1538</v>
      </c>
      <c r="E26" s="4" t="inlineStr">
        <is>
          <t>ADAPTIVE (rolling-2500)</t>
        </is>
      </c>
      <c r="F26" s="4" t="inlineStr">
        <is>
          <t>fires at/below adaptive low extreme</t>
        </is>
      </c>
    </row>
    <row r="27">
      <c r="A27" s="4" t="inlineStr">
        <is>
          <t>Micro_Lambda</t>
        </is>
      </c>
      <c r="B27" s="4" t="inlineStr">
        <is>
          <t>lo</t>
        </is>
      </c>
      <c r="C27" s="4" t="inlineStr">
        <is>
          <t>p20</t>
        </is>
      </c>
      <c r="D27" s="12" t="n">
        <v>0.0187</v>
      </c>
      <c r="E27" s="4" t="inlineStr">
        <is>
          <t>ADAPTIVE (rolling-2500)</t>
        </is>
      </c>
      <c r="F27" s="4" t="inlineStr">
        <is>
          <t>fires at/below adaptive low extreme</t>
        </is>
      </c>
    </row>
    <row r="28">
      <c r="A28" s="4" t="inlineStr">
        <is>
          <t>Micro_LogReturn</t>
        </is>
      </c>
      <c r="B28" s="4" t="inlineStr">
        <is>
          <t>lo</t>
        </is>
      </c>
      <c r="C28" s="4" t="inlineStr">
        <is>
          <t>p20</t>
        </is>
      </c>
      <c r="D28" s="12" t="n">
        <v>-0.0002</v>
      </c>
      <c r="E28" s="4" t="inlineStr">
        <is>
          <t>ADAPTIVE (rolling-2500)</t>
        </is>
      </c>
      <c r="F28" s="4" t="inlineStr">
        <is>
          <t>fires at/below adaptive low extreme</t>
        </is>
      </c>
    </row>
    <row r="29">
      <c r="A29" s="4" t="inlineStr">
        <is>
          <t>Micro_MicroGap</t>
        </is>
      </c>
      <c r="B29" s="4" t="inlineStr">
        <is>
          <t>hi</t>
        </is>
      </c>
      <c r="C29" s="4" t="inlineStr">
        <is>
          <t>p80</t>
        </is>
      </c>
      <c r="D29" s="12" t="n">
        <v>1</v>
      </c>
      <c r="E29" s="4" t="inlineStr">
        <is>
          <t>ADAPTIVE (rolling-2500)</t>
        </is>
      </c>
      <c r="F29" s="4" t="inlineStr">
        <is>
          <t>fires at/above adaptive high extreme</t>
        </is>
      </c>
    </row>
    <row r="30">
      <c r="A30" s="4" t="inlineStr">
        <is>
          <t>Micro_MicroGap</t>
        </is>
      </c>
      <c r="B30" s="4" t="inlineStr">
        <is>
          <t>lo</t>
        </is>
      </c>
      <c r="C30" s="4" t="inlineStr">
        <is>
          <t>p20</t>
        </is>
      </c>
      <c r="D30" s="12" t="n">
        <v>-1</v>
      </c>
      <c r="E30" s="4" t="inlineStr">
        <is>
          <t>ADAPTIVE (rolling-2500)</t>
        </is>
      </c>
      <c r="F30" s="4" t="inlineStr">
        <is>
          <t>fires at/below adaptive low extreme</t>
        </is>
      </c>
    </row>
    <row r="31">
      <c r="A31" s="4" t="inlineStr">
        <is>
          <t>Micro_MomoTransfer</t>
        </is>
      </c>
      <c r="B31" s="4" t="inlineStr">
        <is>
          <t>hi</t>
        </is>
      </c>
      <c r="C31" s="4" t="inlineStr">
        <is>
          <t>p80</t>
        </is>
      </c>
      <c r="D31" s="12" t="n">
        <v>1.3976</v>
      </c>
      <c r="E31" s="4" t="inlineStr">
        <is>
          <t>ADAPTIVE (rolling-2500)</t>
        </is>
      </c>
      <c r="F31" s="4" t="inlineStr">
        <is>
          <t>fires at/above adaptive high extreme</t>
        </is>
      </c>
    </row>
    <row r="32">
      <c r="A32" s="4" t="inlineStr">
        <is>
          <t>Micro_OrderFlowDelta</t>
        </is>
      </c>
      <c r="B32" s="4" t="inlineStr">
        <is>
          <t>hi</t>
        </is>
      </c>
      <c r="C32" s="4" t="inlineStr">
        <is>
          <t>p80</t>
        </is>
      </c>
      <c r="D32" s="12" t="n">
        <v>82.8909</v>
      </c>
      <c r="E32" s="4" t="inlineStr">
        <is>
          <t>ADAPTIVE (rolling-2500)</t>
        </is>
      </c>
      <c r="F32" s="4" t="inlineStr">
        <is>
          <t>fires at/above adaptive high extreme</t>
        </is>
      </c>
    </row>
    <row r="33">
      <c r="A33" s="4" t="inlineStr">
        <is>
          <t>Micro_OrderFlowDelta</t>
        </is>
      </c>
      <c r="B33" s="4" t="inlineStr">
        <is>
          <t>lo</t>
        </is>
      </c>
      <c r="C33" s="4" t="inlineStr">
        <is>
          <t>p20</t>
        </is>
      </c>
      <c r="D33" s="12" t="n">
        <v>-81.3704</v>
      </c>
      <c r="E33" s="4" t="inlineStr">
        <is>
          <t>ADAPTIVE (rolling-2500)</t>
        </is>
      </c>
      <c r="F33" s="4" t="inlineStr">
        <is>
          <t>fires at/below adaptive low extreme</t>
        </is>
      </c>
    </row>
    <row r="34">
      <c r="A34" s="4" t="inlineStr">
        <is>
          <t>Micro_RangeAccel</t>
        </is>
      </c>
      <c r="B34" s="4" t="inlineStr">
        <is>
          <t>lo</t>
        </is>
      </c>
      <c r="C34" s="4" t="inlineStr">
        <is>
          <t>p20</t>
        </is>
      </c>
      <c r="D34" s="12" t="n">
        <v>-10</v>
      </c>
      <c r="E34" s="4" t="inlineStr">
        <is>
          <t>ADAPTIVE (rolling-2500)</t>
        </is>
      </c>
      <c r="F34" s="4" t="inlineStr">
        <is>
          <t>fires at/below adaptive low extreme</t>
        </is>
      </c>
    </row>
    <row r="35">
      <c r="A35" s="4" t="inlineStr">
        <is>
          <t>Micro_RangeVelocity</t>
        </is>
      </c>
      <c r="B35" s="4" t="inlineStr">
        <is>
          <t>hi</t>
        </is>
      </c>
      <c r="C35" s="4" t="inlineStr">
        <is>
          <t>p80</t>
        </is>
      </c>
      <c r="D35" s="12" t="n">
        <v>6</v>
      </c>
      <c r="E35" s="4" t="inlineStr">
        <is>
          <t>ADAPTIVE (rolling-2500)</t>
        </is>
      </c>
      <c r="F35" s="4" t="inlineStr">
        <is>
          <t>fires at/above adaptive high extreme</t>
        </is>
      </c>
    </row>
    <row r="36">
      <c r="A36" s="4" t="inlineStr">
        <is>
          <t>Micro_Rejection</t>
        </is>
      </c>
      <c r="B36" s="4" t="inlineStr">
        <is>
          <t>lo</t>
        </is>
      </c>
      <c r="C36" s="4" t="inlineStr">
        <is>
          <t>p20</t>
        </is>
      </c>
      <c r="D36" s="12" t="n">
        <v>-0.2812</v>
      </c>
      <c r="E36" s="4" t="inlineStr">
        <is>
          <t>ADAPTIVE (rolling-2500)</t>
        </is>
      </c>
      <c r="F36" s="4" t="inlineStr">
        <is>
          <t>fires at/below adaptive low extreme</t>
        </is>
      </c>
    </row>
    <row r="37">
      <c r="A37" s="4" t="inlineStr">
        <is>
          <t>Micro_RollProxy</t>
        </is>
      </c>
      <c r="B37" s="4" t="inlineStr">
        <is>
          <t>hi</t>
        </is>
      </c>
      <c r="C37" s="4" t="inlineStr">
        <is>
          <t>p80</t>
        </is>
      </c>
      <c r="D37" s="12" t="n">
        <v>49.5</v>
      </c>
      <c r="E37" s="4" t="inlineStr">
        <is>
          <t>ADAPTIVE (rolling-2500)</t>
        </is>
      </c>
      <c r="F37" s="4" t="inlineStr">
        <is>
          <t>fires at/above adaptive high extreme</t>
        </is>
      </c>
    </row>
    <row r="38">
      <c r="A38" s="4" t="inlineStr">
        <is>
          <t>Micro_RollProxy</t>
        </is>
      </c>
      <c r="B38" s="4" t="inlineStr">
        <is>
          <t>lo</t>
        </is>
      </c>
      <c r="C38" s="4" t="inlineStr">
        <is>
          <t>p20</t>
        </is>
      </c>
      <c r="D38" s="12" t="n">
        <v>-51</v>
      </c>
      <c r="E38" s="4" t="inlineStr">
        <is>
          <t>ADAPTIVE (rolling-2500)</t>
        </is>
      </c>
      <c r="F38" s="4" t="inlineStr">
        <is>
          <t>fires at/below adaptive low extreme</t>
        </is>
      </c>
    </row>
    <row r="39">
      <c r="A39" s="4" t="inlineStr">
        <is>
          <t>Micro_ThrustEff</t>
        </is>
      </c>
      <c r="B39" s="4" t="inlineStr">
        <is>
          <t>hi</t>
        </is>
      </c>
      <c r="C39" s="4" t="inlineStr">
        <is>
          <t>p80</t>
        </is>
      </c>
      <c r="D39" s="12" t="n">
        <v>0.3396</v>
      </c>
      <c r="E39" s="4" t="inlineStr">
        <is>
          <t>ADAPTIVE (rolling-2500)</t>
        </is>
      </c>
      <c r="F39" s="4" t="inlineStr">
        <is>
          <t>fires at/above adaptive high extreme</t>
        </is>
      </c>
    </row>
    <row r="40">
      <c r="A40" s="4" t="inlineStr">
        <is>
          <t>Micro_TickIntensity</t>
        </is>
      </c>
      <c r="B40" s="4" t="inlineStr">
        <is>
          <t>hi</t>
        </is>
      </c>
      <c r="C40" s="4" t="inlineStr">
        <is>
          <t>p80</t>
        </is>
      </c>
      <c r="D40" s="12" t="n">
        <v>12.5882</v>
      </c>
      <c r="E40" s="4" t="inlineStr">
        <is>
          <t>ADAPTIVE (rolling-2500)</t>
        </is>
      </c>
      <c r="F40" s="4" t="inlineStr">
        <is>
          <t>fires at/above adaptive high extreme</t>
        </is>
      </c>
    </row>
    <row r="41">
      <c r="A41" s="4" t="inlineStr">
        <is>
          <t>Micro_VPIN</t>
        </is>
      </c>
      <c r="B41" s="4" t="inlineStr">
        <is>
          <t>lo</t>
        </is>
      </c>
      <c r="C41" s="4" t="inlineStr">
        <is>
          <t>p20</t>
        </is>
      </c>
      <c r="D41" s="12" t="n">
        <v>0.0554</v>
      </c>
      <c r="E41" s="4" t="inlineStr">
        <is>
          <t>ADAPTIVE (rolling-2500)</t>
        </is>
      </c>
      <c r="F41" s="4" t="inlineStr">
        <is>
          <t>fires at/below adaptive low extreme</t>
        </is>
      </c>
    </row>
    <row r="42">
      <c r="A42" s="4" t="inlineStr">
        <is>
          <t>Micro_VolAccel</t>
        </is>
      </c>
      <c r="B42" s="4" t="inlineStr">
        <is>
          <t>hi</t>
        </is>
      </c>
      <c r="C42" s="4" t="inlineStr">
        <is>
          <t>p80</t>
        </is>
      </c>
      <c r="D42" s="12" t="n">
        <v>38</v>
      </c>
      <c r="E42" s="4" t="inlineStr">
        <is>
          <t>ADAPTIVE (rolling-2500)</t>
        </is>
      </c>
      <c r="F42" s="4" t="inlineStr">
        <is>
          <t>fires at/above adaptive high extreme</t>
        </is>
      </c>
    </row>
    <row r="43">
      <c r="A43" s="4" t="inlineStr">
        <is>
          <t>Micro_VolOfVol</t>
        </is>
      </c>
      <c r="B43" s="4" t="inlineStr">
        <is>
          <t>hi</t>
        </is>
      </c>
      <c r="C43" s="4" t="inlineStr">
        <is>
          <t>p80</t>
        </is>
      </c>
      <c r="D43" s="12" t="n">
        <v>0.45</v>
      </c>
      <c r="E43" s="4" t="inlineStr">
        <is>
          <t>ADAPTIVE (rolling-2500)</t>
        </is>
      </c>
      <c r="F43" s="4" t="inlineStr">
        <is>
          <t>fires at/above adaptive high extreme</t>
        </is>
      </c>
    </row>
    <row r="44">
      <c r="A44" s="4" t="inlineStr">
        <is>
          <t>Micro_WickImbalance</t>
        </is>
      </c>
      <c r="B44" s="4" t="inlineStr">
        <is>
          <t>hi</t>
        </is>
      </c>
      <c r="C44" s="4" t="inlineStr">
        <is>
          <t>p80</t>
        </is>
      </c>
      <c r="D44" s="12" t="n">
        <v>13.45</v>
      </c>
      <c r="E44" s="4" t="inlineStr">
        <is>
          <t>ADAPTIVE (rolling-2500)</t>
        </is>
      </c>
      <c r="F44" s="4" t="inlineStr">
        <is>
          <t>fires at/above adaptive high extreme</t>
        </is>
      </c>
    </row>
    <row r="45">
      <c r="A45" s="4" t="inlineStr">
        <is>
          <t>Momentum_Value</t>
        </is>
      </c>
      <c r="B45" s="4" t="inlineStr">
        <is>
          <t>hi</t>
        </is>
      </c>
      <c r="C45" s="4" t="inlineStr">
        <is>
          <t>p80</t>
        </is>
      </c>
      <c r="D45" s="12" t="n">
        <v>100.0695</v>
      </c>
      <c r="E45" s="4" t="inlineStr">
        <is>
          <t>ADAPTIVE (rolling-2500)</t>
        </is>
      </c>
      <c r="F45" s="4" t="inlineStr">
        <is>
          <t>fires at/above adaptive high extreme</t>
        </is>
      </c>
    </row>
    <row r="46">
      <c r="A46" s="4" t="inlineStr">
        <is>
          <t>OBV_Macd</t>
        </is>
      </c>
      <c r="B46" s="4" t="inlineStr">
        <is>
          <t>lo</t>
        </is>
      </c>
      <c r="C46" s="4" t="inlineStr">
        <is>
          <t>p20</t>
        </is>
      </c>
      <c r="D46" s="12" t="n">
        <v>-298.6101</v>
      </c>
      <c r="E46" s="4" t="inlineStr">
        <is>
          <t>ADAPTIVE (rolling-2500)</t>
        </is>
      </c>
      <c r="F46" s="4" t="inlineStr">
        <is>
          <t>fires at/below adaptive low extreme</t>
        </is>
      </c>
    </row>
    <row r="47">
      <c r="A47" s="4" t="inlineStr">
        <is>
          <t>OBVf_DirStepCount</t>
        </is>
      </c>
      <c r="B47" s="4" t="inlineStr">
        <is>
          <t>hi</t>
        </is>
      </c>
      <c r="C47" s="4" t="inlineStr">
        <is>
          <t>p80</t>
        </is>
      </c>
      <c r="D47" s="12" t="n">
        <v>14</v>
      </c>
      <c r="E47" s="4" t="inlineStr">
        <is>
          <t>ADAPTIVE (rolling-2500)</t>
        </is>
      </c>
      <c r="F47" s="4" t="inlineStr">
        <is>
          <t>fires at/above adaptive high extreme</t>
        </is>
      </c>
    </row>
    <row r="48">
      <c r="A48" s="4" t="inlineStr">
        <is>
          <t>PrevDay_Low_Dist_ATR</t>
        </is>
      </c>
      <c r="B48" s="4" t="inlineStr">
        <is>
          <t>lo</t>
        </is>
      </c>
      <c r="C48" s="4" t="inlineStr">
        <is>
          <t>p20</t>
        </is>
      </c>
      <c r="D48" s="12" t="n">
        <v>6.244</v>
      </c>
      <c r="E48" s="4" t="inlineStr">
        <is>
          <t>ADAPTIVE (rolling-2500)</t>
        </is>
      </c>
      <c r="F48" s="4" t="inlineStr">
        <is>
          <t>fires at/below adaptive low extreme</t>
        </is>
      </c>
    </row>
    <row r="49">
      <c r="A49" s="4" t="inlineStr">
        <is>
          <t>Round_500_Dist_ATR</t>
        </is>
      </c>
      <c r="B49" s="4" t="inlineStr">
        <is>
          <t>lo</t>
        </is>
      </c>
      <c r="C49" s="4" t="inlineStr">
        <is>
          <t>p20</t>
        </is>
      </c>
      <c r="D49" s="12" t="n">
        <v>2.7506</v>
      </c>
      <c r="E49" s="4" t="inlineStr">
        <is>
          <t>ADAPTIVE (rolling-2500)</t>
        </is>
      </c>
      <c r="F49" s="4" t="inlineStr">
        <is>
          <t>fires at/below adaptive low extreme</t>
        </is>
      </c>
    </row>
    <row r="50">
      <c r="A50" s="4" t="inlineStr">
        <is>
          <t>Session_Low_Dist_ATR</t>
        </is>
      </c>
      <c r="B50" s="4" t="inlineStr">
        <is>
          <t>lo</t>
        </is>
      </c>
      <c r="C50" s="4" t="inlineStr">
        <is>
          <t>p20</t>
        </is>
      </c>
      <c r="D50" s="12" t="n">
        <v>3.2756</v>
      </c>
      <c r="E50" s="4" t="inlineStr">
        <is>
          <t>ADAPTIVE (rolling-2500)</t>
        </is>
      </c>
      <c r="F50" s="4" t="inlineStr">
        <is>
          <t>fires at/below adaptive low extreme</t>
        </is>
      </c>
    </row>
    <row r="51">
      <c r="A51" s="4" t="inlineStr">
        <is>
          <t>Slope_Accel_LT</t>
        </is>
      </c>
      <c r="B51" s="4" t="inlineStr">
        <is>
          <t>hi</t>
        </is>
      </c>
      <c r="C51" s="4" t="inlineStr">
        <is>
          <t>p80</t>
        </is>
      </c>
      <c r="D51" s="12" t="n">
        <v>0</v>
      </c>
      <c r="E51" s="4" t="inlineStr">
        <is>
          <t>ADAPTIVE (rolling-2500)</t>
        </is>
      </c>
      <c r="F51" s="4" t="inlineStr">
        <is>
          <t>fires at/above adaptive high extreme</t>
        </is>
      </c>
    </row>
    <row r="52">
      <c r="A52" s="4" t="inlineStr">
        <is>
          <t>Slope_Accel_LT</t>
        </is>
      </c>
      <c r="B52" s="4" t="inlineStr">
        <is>
          <t>lo</t>
        </is>
      </c>
      <c r="C52" s="4" t="inlineStr">
        <is>
          <t>p20</t>
        </is>
      </c>
      <c r="D52" s="12" t="n">
        <v>0</v>
      </c>
      <c r="E52" s="4" t="inlineStr">
        <is>
          <t>ADAPTIVE (rolling-2500)</t>
        </is>
      </c>
      <c r="F52" s="4" t="inlineStr">
        <is>
          <t>fires at/below adaptive low extreme</t>
        </is>
      </c>
    </row>
    <row r="53">
      <c r="A53" s="4" t="inlineStr">
        <is>
          <t>Slope_EMA_ST</t>
        </is>
      </c>
      <c r="B53" s="4" t="inlineStr">
        <is>
          <t>hi</t>
        </is>
      </c>
      <c r="C53" s="4" t="inlineStr">
        <is>
          <t>p80</t>
        </is>
      </c>
      <c r="D53" s="12" t="n">
        <v>0</v>
      </c>
      <c r="E53" s="4" t="inlineStr">
        <is>
          <t>ADAPTIVE (rolling-2500)</t>
        </is>
      </c>
      <c r="F53" s="4" t="inlineStr">
        <is>
          <t>fires at/above adaptive high extreme</t>
        </is>
      </c>
    </row>
    <row r="54">
      <c r="A54" s="4" t="inlineStr">
        <is>
          <t>Slope_EMA_ST</t>
        </is>
      </c>
      <c r="B54" s="4" t="inlineStr">
        <is>
          <t>lo</t>
        </is>
      </c>
      <c r="C54" s="4" t="inlineStr">
        <is>
          <t>p20</t>
        </is>
      </c>
      <c r="D54" s="12" t="n">
        <v>0</v>
      </c>
      <c r="E54" s="4" t="inlineStr">
        <is>
          <t>ADAPTIVE (rolling-2500)</t>
        </is>
      </c>
      <c r="F54" s="4" t="inlineStr">
        <is>
          <t>fires at/below adaptive low extreme</t>
        </is>
      </c>
    </row>
    <row r="55">
      <c r="A55" s="4" t="inlineStr">
        <is>
          <t>Sqz_Val</t>
        </is>
      </c>
      <c r="B55" s="4" t="inlineStr">
        <is>
          <t>hi</t>
        </is>
      </c>
      <c r="C55" s="4" t="inlineStr">
        <is>
          <t>p80</t>
        </is>
      </c>
      <c r="D55" s="12" t="n">
        <v>20.5171</v>
      </c>
      <c r="E55" s="4" t="inlineStr">
        <is>
          <t>ADAPTIVE (rolling-2500)</t>
        </is>
      </c>
      <c r="F55" s="4" t="inlineStr">
        <is>
          <t>fires at/above adaptive high extreme</t>
        </is>
      </c>
    </row>
    <row r="56">
      <c r="A56" s="4" t="inlineStr">
        <is>
          <t>Upper_Wick</t>
        </is>
      </c>
      <c r="B56" s="4" t="inlineStr">
        <is>
          <t>hi</t>
        </is>
      </c>
      <c r="C56" s="4" t="inlineStr">
        <is>
          <t>p80</t>
        </is>
      </c>
      <c r="D56" s="12" t="n">
        <v>6.5</v>
      </c>
      <c r="E56" s="4" t="inlineStr">
        <is>
          <t>ADAPTIVE (rolling-2500)</t>
        </is>
      </c>
      <c r="F56" s="4" t="inlineStr">
        <is>
          <t>fires at/above adaptive high extreme</t>
        </is>
      </c>
    </row>
    <row r="57">
      <c r="A57" s="4" t="inlineStr">
        <is>
          <t>VWAP_Dist_ATR</t>
        </is>
      </c>
      <c r="B57" s="4" t="inlineStr">
        <is>
          <t>lo</t>
        </is>
      </c>
      <c r="C57" s="4" t="inlineStr">
        <is>
          <t>p20</t>
        </is>
      </c>
      <c r="D57" s="12" t="n">
        <v>2.1129</v>
      </c>
      <c r="E57" s="4" t="inlineStr">
        <is>
          <t>ADAPTIVE (rolling-2500)</t>
        </is>
      </c>
      <c r="F57" s="4" t="inlineStr">
        <is>
          <t>fires at/below adaptive low extreme</t>
        </is>
      </c>
    </row>
    <row r="58">
      <c r="A58" s="4" t="inlineStr">
        <is>
          <t>VWAP_Sigma</t>
        </is>
      </c>
      <c r="B58" s="4" t="inlineStr">
        <is>
          <t>lo</t>
        </is>
      </c>
      <c r="C58" s="4" t="inlineStr">
        <is>
          <t>p20</t>
        </is>
      </c>
      <c r="D58" s="12" t="n">
        <v>45.1534</v>
      </c>
      <c r="E58" s="4" t="inlineStr">
        <is>
          <t>ADAPTIVE (rolling-2500)</t>
        </is>
      </c>
      <c r="F58" s="4" t="inlineStr">
        <is>
          <t>fires at/below adaptive low extreme</t>
        </is>
      </c>
    </row>
    <row r="59">
      <c r="A59" s="4" t="inlineStr">
        <is>
          <t>Volume</t>
        </is>
      </c>
      <c r="B59" s="4" t="inlineStr">
        <is>
          <t>hi</t>
        </is>
      </c>
      <c r="C59" s="4" t="inlineStr">
        <is>
          <t>p80</t>
        </is>
      </c>
      <c r="D59" s="12" t="n">
        <v>237</v>
      </c>
      <c r="E59" s="4" t="inlineStr">
        <is>
          <t>ADAPTIVE (rolling-2500)</t>
        </is>
      </c>
      <c r="F59" s="4" t="inlineStr">
        <is>
          <t>fires at/above adaptive high extreme</t>
        </is>
      </c>
    </row>
    <row r="60">
      <c r="A60" s="4" t="inlineStr">
        <is>
          <t>Volume_Avg_10</t>
        </is>
      </c>
      <c r="B60" s="4" t="inlineStr">
        <is>
          <t>hi</t>
        </is>
      </c>
      <c r="C60" s="4" t="inlineStr">
        <is>
          <t>p80</t>
        </is>
      </c>
      <c r="D60" s="12" t="n">
        <v>237.3</v>
      </c>
      <c r="E60" s="4" t="inlineStr">
        <is>
          <t>ADAPTIVE (rolling-2500)</t>
        </is>
      </c>
      <c r="F60" s="4" t="inlineStr">
        <is>
          <t>fires at/above adaptive high extreme</t>
        </is>
      </c>
    </row>
    <row r="61">
      <c r="A61" s="4" t="inlineStr">
        <is>
          <t>Volume_Ratio_10</t>
        </is>
      </c>
      <c r="B61" s="4" t="inlineStr">
        <is>
          <t>lo</t>
        </is>
      </c>
      <c r="C61" s="4" t="inlineStr">
        <is>
          <t>p20</t>
        </is>
      </c>
      <c r="D61" s="12" t="n">
        <v>0.8512</v>
      </c>
      <c r="E61" s="4" t="inlineStr">
        <is>
          <t>ADAPTIVE (rolling-2500)</t>
        </is>
      </c>
      <c r="F61" s="4" t="inlineStr">
        <is>
          <t>fires at/below adaptive low extreme</t>
        </is>
      </c>
    </row>
    <row r="62">
      <c r="A62" s="2" t="inlineStr">
        <is>
          <t>STATE / SIDE (equality — incl. F1 legs ADX_Rising, D2D_DirStep)</t>
        </is>
      </c>
    </row>
    <row r="63">
      <c r="A63" s="4" t="inlineStr">
        <is>
          <t>ADX_Rising</t>
        </is>
      </c>
      <c r="B63" s="4" t="inlineStr">
        <is>
          <t>state</t>
        </is>
      </c>
      <c r="C63" s="4" t="inlineStr">
        <is>
          <t>n/a</t>
        </is>
      </c>
      <c r="D63" s="4">
        <f> 0</f>
        <v/>
      </c>
      <c r="E63" s="4" t="inlineStr">
        <is>
          <t>STATE (equality)</t>
        </is>
      </c>
      <c r="F63" s="4" t="inlineStr">
        <is>
          <t>discrete state/side == value</t>
        </is>
      </c>
    </row>
    <row r="64">
      <c r="A64" s="4" t="inlineStr">
        <is>
          <t>AT_Regime_LT</t>
        </is>
      </c>
      <c r="B64" s="4" t="inlineStr">
        <is>
          <t>state</t>
        </is>
      </c>
      <c r="C64" s="4" t="inlineStr">
        <is>
          <t>n/a</t>
        </is>
      </c>
      <c r="D64" s="4">
        <f> 1</f>
        <v/>
      </c>
      <c r="E64" s="4" t="inlineStr">
        <is>
          <t>STATE (equality)</t>
        </is>
      </c>
      <c r="F64" s="4" t="inlineStr">
        <is>
          <t>discrete state/side == value</t>
        </is>
      </c>
    </row>
    <row r="65">
      <c r="A65" s="4" t="inlineStr">
        <is>
          <t>AT_Regime_ST</t>
        </is>
      </c>
      <c r="B65" s="4" t="inlineStr">
        <is>
          <t>state</t>
        </is>
      </c>
      <c r="C65" s="4" t="inlineStr">
        <is>
          <t>n/a</t>
        </is>
      </c>
      <c r="D65" s="4">
        <f> 1</f>
        <v/>
      </c>
      <c r="E65" s="4" t="inlineStr">
        <is>
          <t>STATE (equality)</t>
        </is>
      </c>
      <c r="F65" s="4" t="inlineStr">
        <is>
          <t>discrete state/side == value</t>
        </is>
      </c>
    </row>
    <row r="66">
      <c r="A66" s="4" t="inlineStr">
        <is>
          <t>D2D_DirStep</t>
        </is>
      </c>
      <c r="B66" s="4" t="inlineStr">
        <is>
          <t>state</t>
        </is>
      </c>
      <c r="C66" s="4" t="inlineStr">
        <is>
          <t>n/a</t>
        </is>
      </c>
      <c r="D66" s="4">
        <f> -1</f>
        <v/>
      </c>
      <c r="E66" s="4" t="inlineStr">
        <is>
          <t>STATE (equality)</t>
        </is>
      </c>
      <c r="F66" s="4" t="inlineStr">
        <is>
          <t>discrete state/side == value</t>
        </is>
      </c>
    </row>
    <row r="67">
      <c r="A67" s="4" t="inlineStr">
        <is>
          <t>D2D_DirStep</t>
        </is>
      </c>
      <c r="B67" s="4" t="inlineStr">
        <is>
          <t>state</t>
        </is>
      </c>
      <c r="C67" s="4" t="inlineStr">
        <is>
          <t>n/a</t>
        </is>
      </c>
      <c r="D67" s="4">
        <f> 1</f>
        <v/>
      </c>
      <c r="E67" s="4" t="inlineStr">
        <is>
          <t>STATE (equality)</t>
        </is>
      </c>
      <c r="F67" s="4" t="inlineStr">
        <is>
          <t>discrete state/side == value</t>
        </is>
      </c>
    </row>
    <row r="68">
      <c r="A68" s="4" t="inlineStr">
        <is>
          <t>D2D_Signal</t>
        </is>
      </c>
      <c r="B68" s="4" t="inlineStr">
        <is>
          <t>state</t>
        </is>
      </c>
      <c r="C68" s="4" t="inlineStr">
        <is>
          <t>n/a</t>
        </is>
      </c>
      <c r="D68" s="4">
        <f> 1</f>
        <v/>
      </c>
      <c r="E68" s="4" t="inlineStr">
        <is>
          <t>STATE (equality)</t>
        </is>
      </c>
      <c r="F68" s="4" t="inlineStr">
        <is>
          <t>discrete state/side == value</t>
        </is>
      </c>
    </row>
    <row r="69">
      <c r="A69" s="4" t="inlineStr">
        <is>
          <t>DailyOpen_Side</t>
        </is>
      </c>
      <c r="B69" s="4" t="inlineStr">
        <is>
          <t>state</t>
        </is>
      </c>
      <c r="C69" s="4" t="inlineStr">
        <is>
          <t>n/a</t>
        </is>
      </c>
      <c r="D69" s="4">
        <f> 1</f>
        <v/>
      </c>
      <c r="E69" s="4" t="inlineStr">
        <is>
          <t>STATE (equality)</t>
        </is>
      </c>
      <c r="F69" s="4" t="inlineStr">
        <is>
          <t>discrete state/side == value</t>
        </is>
      </c>
    </row>
    <row r="70">
      <c r="A70" s="4" t="inlineStr">
        <is>
          <t>OR_High_Side</t>
        </is>
      </c>
      <c r="B70" s="4" t="inlineStr">
        <is>
          <t>state</t>
        </is>
      </c>
      <c r="C70" s="4" t="inlineStr">
        <is>
          <t>n/a</t>
        </is>
      </c>
      <c r="D70" s="4">
        <f> -1</f>
        <v/>
      </c>
      <c r="E70" s="4" t="inlineStr">
        <is>
          <t>STATE (equality)</t>
        </is>
      </c>
      <c r="F70" s="4" t="inlineStr">
        <is>
          <t>discrete state/side == value</t>
        </is>
      </c>
    </row>
    <row r="71">
      <c r="A71" s="4" t="inlineStr">
        <is>
          <t>OR_Low_Side</t>
        </is>
      </c>
      <c r="B71" s="4" t="inlineStr">
        <is>
          <t>state</t>
        </is>
      </c>
      <c r="C71" s="4" t="inlineStr">
        <is>
          <t>n/a</t>
        </is>
      </c>
      <c r="D71" s="4">
        <f> -1</f>
        <v/>
      </c>
      <c r="E71" s="4" t="inlineStr">
        <is>
          <t>STATE (equality)</t>
        </is>
      </c>
      <c r="F71" s="4" t="inlineStr">
        <is>
          <t>discrete state/side == value</t>
        </is>
      </c>
    </row>
    <row r="72">
      <c r="A72" s="4" t="inlineStr">
        <is>
          <t>PoC_Side</t>
        </is>
      </c>
      <c r="B72" s="4" t="inlineStr">
        <is>
          <t>state</t>
        </is>
      </c>
      <c r="C72" s="4" t="inlineStr">
        <is>
          <t>n/a</t>
        </is>
      </c>
      <c r="D72" s="4">
        <f> 0</f>
        <v/>
      </c>
      <c r="E72" s="4" t="inlineStr">
        <is>
          <t>STATE (equality)</t>
        </is>
      </c>
      <c r="F72" s="4" t="inlineStr">
        <is>
          <t>discrete state/side == value</t>
        </is>
      </c>
    </row>
    <row r="73">
      <c r="A73" s="4" t="inlineStr">
        <is>
          <t>PrevDay_High_Side</t>
        </is>
      </c>
      <c r="B73" s="4" t="inlineStr">
        <is>
          <t>state</t>
        </is>
      </c>
      <c r="C73" s="4" t="inlineStr">
        <is>
          <t>n/a</t>
        </is>
      </c>
      <c r="D73" s="4">
        <f> -1</f>
        <v/>
      </c>
      <c r="E73" s="4" t="inlineStr">
        <is>
          <t>STATE (equality)</t>
        </is>
      </c>
      <c r="F73" s="4" t="inlineStr">
        <is>
          <t>discrete state/side == value</t>
        </is>
      </c>
    </row>
    <row r="74">
      <c r="A74" s="4" t="inlineStr">
        <is>
          <t>PrevDay_Low_Side</t>
        </is>
      </c>
      <c r="B74" s="4" t="inlineStr">
        <is>
          <t>state</t>
        </is>
      </c>
      <c r="C74" s="4" t="inlineStr">
        <is>
          <t>n/a</t>
        </is>
      </c>
      <c r="D74" s="4">
        <f> -1</f>
        <v/>
      </c>
      <c r="E74" s="4" t="inlineStr">
        <is>
          <t>STATE (equality)</t>
        </is>
      </c>
      <c r="F74" s="4" t="inlineStr">
        <is>
          <t>discrete state/side == value</t>
        </is>
      </c>
    </row>
    <row r="75">
      <c r="A75" s="4" t="inlineStr">
        <is>
          <t>RangeOsc_State</t>
        </is>
      </c>
      <c r="B75" s="4" t="inlineStr">
        <is>
          <t>state</t>
        </is>
      </c>
      <c r="C75" s="4" t="inlineStr">
        <is>
          <t>n/a</t>
        </is>
      </c>
      <c r="D75" s="4">
        <f> -1</f>
        <v/>
      </c>
      <c r="E75" s="4" t="inlineStr">
        <is>
          <t>STATE (equality)</t>
        </is>
      </c>
      <c r="F75" s="4" t="inlineStr">
        <is>
          <t>discrete state/side == value</t>
        </is>
      </c>
    </row>
    <row r="76">
      <c r="A76" s="4" t="inlineStr">
        <is>
          <t>RangeOsc_State</t>
        </is>
      </c>
      <c r="B76" s="4" t="inlineStr">
        <is>
          <t>state</t>
        </is>
      </c>
      <c r="C76" s="4" t="inlineStr">
        <is>
          <t>n/a</t>
        </is>
      </c>
      <c r="D76" s="4">
        <f> -2</f>
        <v/>
      </c>
      <c r="E76" s="4" t="inlineStr">
        <is>
          <t>STATE (equality)</t>
        </is>
      </c>
      <c r="F76" s="4" t="inlineStr">
        <is>
          <t>discrete state/side == value</t>
        </is>
      </c>
    </row>
    <row r="77">
      <c r="A77" s="4" t="inlineStr">
        <is>
          <t>RangeOsc_State</t>
        </is>
      </c>
      <c r="B77" s="4" t="inlineStr">
        <is>
          <t>state</t>
        </is>
      </c>
      <c r="C77" s="4" t="inlineStr">
        <is>
          <t>n/a</t>
        </is>
      </c>
      <c r="D77" s="4">
        <f> 2</f>
        <v/>
      </c>
      <c r="E77" s="4" t="inlineStr">
        <is>
          <t>STATE (equality)</t>
        </is>
      </c>
      <c r="F77" s="4" t="inlineStr">
        <is>
          <t>discrete state/side == value</t>
        </is>
      </c>
    </row>
    <row r="78">
      <c r="A78" s="4" t="inlineStr">
        <is>
          <t>ST_Flip_Event</t>
        </is>
      </c>
      <c r="B78" s="4" t="inlineStr">
        <is>
          <t>state</t>
        </is>
      </c>
      <c r="C78" s="4" t="inlineStr">
        <is>
          <t>n/a</t>
        </is>
      </c>
      <c r="D78" s="4">
        <f> -1</f>
        <v/>
      </c>
      <c r="E78" s="4" t="inlineStr">
        <is>
          <t>STATE (equality)</t>
        </is>
      </c>
      <c r="F78" s="4" t="inlineStr">
        <is>
          <t>discrete state/side == value</t>
        </is>
      </c>
    </row>
    <row r="79">
      <c r="A79" s="4" t="inlineStr">
        <is>
          <t>Sqz_State</t>
        </is>
      </c>
      <c r="B79" s="4" t="inlineStr">
        <is>
          <t>state</t>
        </is>
      </c>
      <c r="C79" s="4" t="inlineStr">
        <is>
          <t>n/a</t>
        </is>
      </c>
      <c r="D79" s="4">
        <f> 1</f>
        <v/>
      </c>
      <c r="E79" s="4" t="inlineStr">
        <is>
          <t>STATE (equality)</t>
        </is>
      </c>
      <c r="F79" s="4" t="inlineStr">
        <is>
          <t>discrete state/side == value</t>
        </is>
      </c>
    </row>
    <row r="80">
      <c r="A80" s="4" t="inlineStr">
        <is>
          <t>VAH_Side</t>
        </is>
      </c>
      <c r="B80" s="4" t="inlineStr">
        <is>
          <t>state</t>
        </is>
      </c>
      <c r="C80" s="4" t="inlineStr">
        <is>
          <t>n/a</t>
        </is>
      </c>
      <c r="D80" s="4">
        <f> -1</f>
        <v/>
      </c>
      <c r="E80" s="4" t="inlineStr">
        <is>
          <t>STATE (equality)</t>
        </is>
      </c>
      <c r="F80" s="4" t="inlineStr">
        <is>
          <t>discrete state/side == value</t>
        </is>
      </c>
    </row>
    <row r="81">
      <c r="A81" s="4" t="inlineStr">
        <is>
          <t>VAL_Side</t>
        </is>
      </c>
      <c r="B81" s="4" t="inlineStr">
        <is>
          <t>state</t>
        </is>
      </c>
      <c r="C81" s="4" t="inlineStr">
        <is>
          <t>n/a</t>
        </is>
      </c>
      <c r="D81" s="4">
        <f> 0</f>
        <v/>
      </c>
      <c r="E81" s="4" t="inlineStr">
        <is>
          <t>STATE (equality)</t>
        </is>
      </c>
      <c r="F81" s="4" t="inlineStr">
        <is>
          <t>discrete state/side == value</t>
        </is>
      </c>
    </row>
    <row r="82">
      <c r="A82" s="4" t="inlineStr">
        <is>
          <t>VWAP_Side</t>
        </is>
      </c>
      <c r="B82" s="4" t="inlineStr">
        <is>
          <t>state</t>
        </is>
      </c>
      <c r="C82" s="4" t="inlineStr">
        <is>
          <t>n/a</t>
        </is>
      </c>
      <c r="D82" s="4">
        <f> 1</f>
        <v/>
      </c>
      <c r="E82" s="4" t="inlineStr">
        <is>
          <t>STATE (equality)</t>
        </is>
      </c>
      <c r="F82" s="4" t="inlineStr">
        <is>
          <t>discrete state/side == value</t>
        </is>
      </c>
    </row>
    <row r="83">
      <c r="A83" s="4" t="inlineStr">
        <is>
          <t>WeeklyOpen_Side</t>
        </is>
      </c>
      <c r="B83" s="4" t="inlineStr">
        <is>
          <t>state</t>
        </is>
      </c>
      <c r="C83" s="4" t="inlineStr">
        <is>
          <t>n/a</t>
        </is>
      </c>
      <c r="D83" s="4">
        <f> -1</f>
        <v/>
      </c>
      <c r="E83" s="4" t="inlineStr">
        <is>
          <t>STATE (equality)</t>
        </is>
      </c>
      <c r="F83" s="4" t="inlineStr">
        <is>
          <t>discrete state/side == value</t>
        </is>
      </c>
    </row>
    <row r="85">
      <c r="A85" s="2" t="inlineStr">
        <is>
          <t>S.20 CONVICTION / GAP THRESHOLDS</t>
        </is>
      </c>
      <c r="B85" s="15" t="n"/>
      <c r="C85" s="15" t="n"/>
      <c r="D85" s="15" t="n"/>
      <c r="E85" s="15" t="n"/>
      <c r="F85" s="15" t="n"/>
    </row>
    <row r="86">
      <c r="A86" s="4" t="inlineStr">
        <is>
          <t>Micro_Hurst</t>
        </is>
      </c>
      <c r="B86" s="4" t="inlineStr">
        <is>
          <t>hi</t>
        </is>
      </c>
      <c r="C86" s="4" t="inlineStr">
        <is>
          <t>p90</t>
        </is>
      </c>
      <c r="D86" s="12" t="n">
        <v>0.521</v>
      </c>
      <c r="E86" s="4" t="inlineStr">
        <is>
          <t>ADAPTIVE (rolling-2500)</t>
        </is>
      </c>
      <c r="F86" s="4" t="inlineStr">
        <is>
          <t>conviction SIZING gate: book longs &gt; p90 -&gt; 2.0 lots (longs only)</t>
        </is>
      </c>
    </row>
    <row r="87">
      <c r="A87" s="4" t="inlineStr">
        <is>
          <t>Micro_Hurst</t>
        </is>
      </c>
      <c r="B87" s="4" t="inlineStr">
        <is>
          <t>hi</t>
        </is>
      </c>
      <c r="C87" s="4" t="inlineStr">
        <is>
          <t>p97</t>
        </is>
      </c>
      <c r="D87" s="12" t="n">
        <v>0.55</v>
      </c>
      <c r="E87" s="4" t="inlineStr">
        <is>
          <t>ADAPTIVE (rolling-2500)</t>
        </is>
      </c>
      <c r="F87" s="4" t="inlineStr">
        <is>
          <t>Hurst GAP-single: &gt; p97 &amp; D2D+ -&gt; LONG 1 lot LOCK=3</t>
        </is>
      </c>
    </row>
    <row r="88">
      <c r="A88" s="4" t="inlineStr">
        <is>
          <t>Micro_FailedBreak</t>
        </is>
      </c>
      <c r="B88" s="4" t="inlineStr">
        <is>
          <t>hi</t>
        </is>
      </c>
      <c r="C88" s="4" t="inlineStr">
        <is>
          <t>p90</t>
        </is>
      </c>
      <c r="D88" s="12" t="n">
        <v>0.664</v>
      </c>
      <c r="E88" s="4" t="inlineStr">
        <is>
          <t>ADAPTIVE (rolling-2500)</t>
        </is>
      </c>
      <c r="F88" s="4" t="inlineStr">
        <is>
          <t>FailedBreak GAP-single: &gt; p90 &amp; D2D- (reversion) -&gt; LONG 1 lot LOCK=3; recentFB sizing x1.25</t>
        </is>
      </c>
    </row>
  </sheetData>
  <mergeCells count="2">
    <mergeCell ref="A2:F2"/>
    <mergeCell ref="A62:F6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9" customWidth="1" min="3" max="3"/>
    <col width="7" customWidth="1" min="4" max="4"/>
    <col width="7" customWidth="1" min="5" max="5"/>
    <col width="8" customWidth="1" min="6" max="6"/>
    <col width="12" customWidth="1" min="7" max="7"/>
    <col width="14" customWidth="1" min="8" max="8"/>
    <col width="11" customWidth="1" min="9" max="9"/>
  </cols>
  <sheetData>
    <row r="1">
      <c r="A1" s="1" t="inlineStr">
        <is>
          <t>Structure</t>
        </is>
      </c>
      <c r="B1" s="1" t="inlineStr">
        <is>
          <t>What It Captures</t>
        </is>
      </c>
      <c r="C1" s="1" t="inlineStr">
        <is>
          <t>Signals</t>
        </is>
      </c>
      <c r="D1" s="1" t="inlineStr">
        <is>
          <t>Long</t>
        </is>
      </c>
      <c r="E1" s="1" t="inlineStr">
        <is>
          <t>Short</t>
        </is>
      </c>
      <c r="F1" s="1" t="inlineStr">
        <is>
          <t>Trigger</t>
        </is>
      </c>
      <c r="G1" s="1" t="inlineStr">
        <is>
          <t>Trades (SA)</t>
        </is>
      </c>
      <c r="H1" s="1" t="inlineStr">
        <is>
          <t>P&amp;L pts (SA)</t>
        </is>
      </c>
      <c r="I1" s="1" t="inlineStr">
        <is>
          <t>% of SA P&amp;L</t>
        </is>
      </c>
    </row>
    <row r="2">
      <c r="A2" s="4" t="inlineStr">
        <is>
          <t>TREND_CONTINUATION</t>
        </is>
      </c>
      <c r="B2" s="4" t="inlineStr">
        <is>
          <t>Riding a persistent established trend — buy the pullback / sell the rally while D2D holds</t>
        </is>
      </c>
      <c r="C2" s="4" t="n">
        <v>15</v>
      </c>
      <c r="D2" s="4" t="n">
        <v>10</v>
      </c>
      <c r="E2" s="4" t="n">
        <v>5</v>
      </c>
      <c r="F2" s="4" t="inlineStr">
        <is>
          <t>F0</t>
        </is>
      </c>
      <c r="G2" s="4" t="n">
        <v>533</v>
      </c>
      <c r="H2" s="8" t="n">
        <v>14756</v>
      </c>
      <c r="I2" s="6" t="n">
        <v>0.2673062500679316</v>
      </c>
    </row>
    <row r="3">
      <c r="A3" s="4" t="inlineStr">
        <is>
          <t>MOMENTUM_IGNITION</t>
        </is>
      </c>
      <c r="B3" s="4" t="inlineStr">
        <is>
          <t>OBV / KAMA / flow confirming a fresh momentum ignition in the trend direction</t>
        </is>
      </c>
      <c r="C3" s="4" t="n">
        <v>14</v>
      </c>
      <c r="D3" s="4" t="n">
        <v>10</v>
      </c>
      <c r="E3" s="4" t="n">
        <v>4</v>
      </c>
      <c r="F3" s="4" t="inlineStr">
        <is>
          <t>F0</t>
        </is>
      </c>
      <c r="G3" s="4" t="n">
        <v>547</v>
      </c>
      <c r="H3" s="8" t="n">
        <v>17420.2</v>
      </c>
      <c r="I3" s="6" t="n">
        <v>0.3155684696010695</v>
      </c>
    </row>
    <row r="4">
      <c r="A4" s="4" t="inlineStr">
        <is>
          <t>STRUCTURAL_ENTRY</t>
        </is>
      </c>
      <c r="B4" s="4" t="inlineStr">
        <is>
          <t>Entry off D2D structural state / value-area / level positioning (AT_Score, sensitivity, PoC, session levels)</t>
        </is>
      </c>
      <c r="C4" s="4" t="n">
        <v>6</v>
      </c>
      <c r="D4" s="4" t="n">
        <v>5</v>
      </c>
      <c r="E4" s="4" t="n">
        <v>1</v>
      </c>
      <c r="F4" s="4" t="inlineStr">
        <is>
          <t>F0</t>
        </is>
      </c>
      <c r="G4" s="4" t="n">
        <v>226</v>
      </c>
      <c r="H4" s="8" t="n">
        <v>7261.099999999999</v>
      </c>
      <c r="I4" s="6" t="n">
        <v>0.1315354711553441</v>
      </c>
    </row>
    <row r="5">
      <c r="A5" s="4" t="inlineStr">
        <is>
          <t>BREAKOUT_EXPANSION</t>
        </is>
      </c>
      <c r="B5" s="4" t="inlineStr">
        <is>
          <t>Range expanding, volatility released — ride the expansion as compression resolves</t>
        </is>
      </c>
      <c r="C5" s="4" t="n">
        <v>8</v>
      </c>
      <c r="D5" s="4" t="n">
        <v>7</v>
      </c>
      <c r="E5" s="4" t="n">
        <v>1</v>
      </c>
      <c r="F5" s="4" t="inlineStr">
        <is>
          <t>F0</t>
        </is>
      </c>
      <c r="G5" s="4" t="n">
        <v>362</v>
      </c>
      <c r="H5" s="8" t="n">
        <v>8919</v>
      </c>
      <c r="I5" s="6" t="n">
        <v>0.161568476847105</v>
      </c>
    </row>
    <row r="6">
      <c r="A6" s="4" t="inlineStr">
        <is>
          <t>SQUEEZE_BREAKOUT</t>
        </is>
      </c>
      <c r="B6" s="4" t="inlineStr">
        <is>
          <t>Volatility compression (squeeze) resolving into a directional break</t>
        </is>
      </c>
      <c r="C6" s="4" t="n">
        <v>1</v>
      </c>
      <c r="D6" s="4" t="n">
        <v>1</v>
      </c>
      <c r="E6" s="4" t="n">
        <v>0</v>
      </c>
      <c r="F6" s="10" t="inlineStr">
        <is>
          <t>F1 seq</t>
        </is>
      </c>
      <c r="G6" s="4" t="n">
        <v>33</v>
      </c>
      <c r="H6" s="8" t="n">
        <v>864.7</v>
      </c>
      <c r="I6" s="6" t="n">
        <v>0.01566411726983874</v>
      </c>
    </row>
    <row r="7">
      <c r="A7" s="4" t="inlineStr">
        <is>
          <t>PRICE_ACTION</t>
        </is>
      </c>
      <c r="B7" s="4" t="inlineStr">
        <is>
          <t>Wick / body / impulse micro-structure — rejection and thrust at the entry</t>
        </is>
      </c>
      <c r="C7" s="4" t="n">
        <v>4</v>
      </c>
      <c r="D7" s="4" t="n">
        <v>3</v>
      </c>
      <c r="E7" s="4" t="n">
        <v>1</v>
      </c>
      <c r="F7" s="4" t="inlineStr">
        <is>
          <t>F0</t>
        </is>
      </c>
      <c r="G7" s="4" t="n">
        <v>145</v>
      </c>
      <c r="H7" s="8" t="n">
        <v>4468.2</v>
      </c>
      <c r="I7" s="6" t="n">
        <v>0.08094183969595635</v>
      </c>
    </row>
    <row r="8">
      <c r="A8" s="4" t="inlineStr">
        <is>
          <t>TREND_EXHAUSTION</t>
        </is>
      </c>
      <c r="B8" s="4" t="inlineStr">
        <is>
          <t>Trend momentum fading / flattening — reversal building at the turn</t>
        </is>
      </c>
      <c r="C8" s="4" t="n">
        <v>1</v>
      </c>
      <c r="D8" s="4" t="n">
        <v>1</v>
      </c>
      <c r="E8" s="4" t="n">
        <v>0</v>
      </c>
      <c r="F8" s="10" t="inlineStr">
        <is>
          <t>F1 seq</t>
        </is>
      </c>
      <c r="G8" s="4" t="n">
        <v>42</v>
      </c>
      <c r="H8" s="8" t="n">
        <v>992.8</v>
      </c>
      <c r="I8" s="6" t="n">
        <v>0.01798466014281936</v>
      </c>
    </row>
    <row r="9">
      <c r="A9" s="4" t="inlineStr">
        <is>
          <t>VOLUME_CONFIRMED</t>
        </is>
      </c>
      <c r="B9" s="4" t="inlineStr">
        <is>
          <t>Volume confirms the directional setup — participation validates the move</t>
        </is>
      </c>
      <c r="C9" s="4" t="n">
        <v>1</v>
      </c>
      <c r="D9" s="4" t="n">
        <v>0</v>
      </c>
      <c r="E9" s="4" t="n">
        <v>1</v>
      </c>
      <c r="F9" s="4" t="inlineStr">
        <is>
          <t>F0</t>
        </is>
      </c>
      <c r="G9" s="4" t="n">
        <v>31</v>
      </c>
      <c r="H9" s="8" t="n">
        <v>520.6</v>
      </c>
      <c r="I9" s="6" t="n">
        <v>0.009430715219935293</v>
      </c>
    </row>
    <row r="10">
      <c r="A10" s="16" t="inlineStr">
        <is>
          <t>SINGLE-VARIABLE (S.20)</t>
        </is>
      </c>
      <c r="B10" s="4" t="inlineStr">
        <is>
          <t>Lone-variable conviction: Micro_Hurst trend-persistence + Micro_FailedBreak reversion — sizes book longs and fills gaps (addendum to the 8 structures)</t>
        </is>
      </c>
      <c r="C10" s="4" t="n">
        <v>2</v>
      </c>
      <c r="D10" s="4" t="n">
        <v>2</v>
      </c>
      <c r="E10" s="4" t="n">
        <v>0</v>
      </c>
      <c r="F10" s="4" t="inlineStr">
        <is>
          <t>SV-gap</t>
        </is>
      </c>
      <c r="G10" s="4" t="n">
        <v>467</v>
      </c>
      <c r="H10" s="8" t="n">
        <v>25925</v>
      </c>
      <c r="I10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18"/>
  <sheetViews>
    <sheetView workbookViewId="0">
      <selection activeCell="A1" sqref="A1"/>
    </sheetView>
  </sheetViews>
  <sheetFormatPr baseColWidth="8" defaultRowHeight="15"/>
  <cols>
    <col width="128" customWidth="1" min="1" max="1"/>
    <col width="5" customWidth="1" min="2" max="2"/>
  </cols>
  <sheetData>
    <row r="2">
      <c r="A2" s="13" t="inlineStr">
        <is>
          <t>HOW TO READ THIS SPREADSHEET (v1 / FINAL — BOOK-50)</t>
        </is>
      </c>
    </row>
    <row r="3">
      <c r="A3" s="14" t="inlineStr"/>
    </row>
    <row r="4">
      <c r="A4" s="14" t="inlineStr">
        <is>
          <t>BOOK-50 = 48 F0 same-bar triple-convergence signals + 2 F1 sequential structure-fills = 50 (37 LONG / 13 SHORT).</t>
        </is>
      </c>
    </row>
    <row r="5">
      <c r="A5" s="14" t="inlineStr"/>
    </row>
    <row r="6">
      <c r="A6" s="14" t="inlineStr">
        <is>
          <t>TRIGGER TYPES:</t>
        </is>
      </c>
    </row>
    <row r="7">
      <c r="A7" s="14" t="inlineStr">
        <is>
          <t xml:space="preserve">  F0 = three conditions AND-ed on the SAME bar (stateless one-bar check). 48 signals.</t>
        </is>
      </c>
    </row>
    <row r="8">
      <c r="A8" s="14" t="inlineStr">
        <is>
          <t xml:space="preserve">  F1-seq = leg A fires, then k bars later leg B fires, latched on an ST_Flip anchor (a bounded lagged check). 2 signals (gold).</t>
        </is>
      </c>
    </row>
    <row r="9">
      <c r="A9" s="14" t="inlineStr"/>
    </row>
    <row r="10">
      <c r="A10" s="14" t="inlineStr">
        <is>
          <t>The 2 F1 signals fill the ONLY two structures F0 structurally could not decorrelate into the book:</t>
        </is>
      </c>
    </row>
    <row r="11">
      <c r="A11" s="14" t="inlineStr">
        <is>
          <t xml:space="preserve">  SQUEEZE_BREAKOUT: Sqz_Val:hi -&gt;13-&gt; Micro_OrderFlowDelta:lo (LONG)</t>
        </is>
      </c>
    </row>
    <row r="12">
      <c r="A12" s="14" t="inlineStr">
        <is>
          <t xml:space="preserve">  TREND_EXHAUSTION: ADX_Rising:==0 -&gt;8-&gt; D2D_DirStep:==-1 (LONG)</t>
        </is>
      </c>
    </row>
    <row r="13">
      <c r="A13" s="14" t="inlineStr">
        <is>
          <t>They were admitted ONLY because each is as persistent (6/6 folds, high weekly, streak 1) and clean-decorrelating (holds the -$127.5 worst-day) as the F0 book’s own signals.</t>
        </is>
      </c>
    </row>
    <row r="14">
      <c r="A14" s="14" t="inlineStr"/>
    </row>
    <row r="15">
      <c r="A15" s="14" t="inlineStr">
        <is>
          <t>Every PER-SIGNAL number is STANDALONE (that signal alone). The book headline (RUN: 2,409 trades, WR 91.9%, PF 5.83, net $58,685, worst-day -$127.5, OOS PF 6.57) is IN-BOOK PORTFOLIO. Never mix.</t>
        </is>
      </c>
    </row>
    <row r="16">
      <c r="A16" s="14" t="inlineStr">
        <is>
          <t>Structure coverage: 8/8 — all DOTS_76 market modes represented. Scale: true FTMO US30.cash $1/point/1.0 lot, Jan 19 – Jun 25 2026 incl. the March -10% war crash.</t>
        </is>
      </c>
    </row>
    <row r="18">
      <c r="A18" s="14" t="inlineStr">
        <is>
          <t>CONCURRENCY: positions are bounded by a 6-lot LIVE-RISK jar — up to 6 lots of pre-break-even risk; 1 lot per trade; a break-even’d winner frees its lot; a new signal opens only when live lots &lt; 6. It counts risk, not open positions (replaces the old count cap).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2026-07-12T15:18:09Z</dcterms:created>
  <dcterms:modified xmlns:dcterms="http://purl.org/dc/terms/" xmlns:xsi="http://www.w3.org/2001/XMLSchema-instance" xsi:type="dcterms:W3CDTF">2026-07-15T19:39:39Z</dcterms:modified>
</cp:coreProperties>
</file>